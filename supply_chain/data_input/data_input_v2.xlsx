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livemanchesterac-my.sharepoint.com/personal/rifny_rachman_postgrad_manchester_ac_uk/Documents/_PhD/00 Thesis/_Paper-3/"/>
    </mc:Choice>
  </mc:AlternateContent>
  <xr:revisionPtr revIDLastSave="3" documentId="13_ncr:1_{E32F6FA1-F6FE-4A6D-8BBF-84D7B25B3A25}" xr6:coauthVersionLast="47" xr6:coauthVersionMax="47" xr10:uidLastSave="{D1C19AA0-8393-4E53-B0ED-27ECC50480BD}"/>
  <bookViews>
    <workbookView xWindow="-120" yWindow="-120" windowWidth="29040" windowHeight="15720" activeTab="3" xr2:uid="{00000000-000D-0000-FFFF-FFFF00000000}"/>
  </bookViews>
  <sheets>
    <sheet name="Data Demand" sheetId="1" r:id="rId1"/>
    <sheet name="Parameters_simple" sheetId="5" r:id="rId2"/>
    <sheet name="Parameters" sheetId="2" r:id="rId3"/>
    <sheet name="Parameters_complex" sheetId="4" r:id="rId4"/>
    <sheet name="Location"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4" l="1"/>
  <c r="I60" i="4"/>
  <c r="I2" i="4"/>
  <c r="M51" i="4"/>
  <c r="M2" i="4"/>
  <c r="M12" i="4"/>
  <c r="M13" i="4"/>
  <c r="M14" i="4"/>
  <c r="M22" i="4"/>
  <c r="M26" i="4"/>
  <c r="M27" i="4"/>
  <c r="M30" i="4"/>
  <c r="M34" i="4"/>
  <c r="M35" i="4"/>
  <c r="M36" i="4"/>
  <c r="M37" i="4"/>
  <c r="M38" i="4"/>
  <c r="M41" i="4"/>
  <c r="M44" i="4"/>
  <c r="M45" i="4"/>
  <c r="M46" i="4"/>
  <c r="M49" i="4"/>
  <c r="M53" i="4"/>
  <c r="M54" i="4"/>
  <c r="M58" i="4"/>
  <c r="M59" i="4"/>
  <c r="M3" i="4"/>
  <c r="M4" i="4"/>
  <c r="M7" i="4"/>
  <c r="M8" i="4"/>
  <c r="M9" i="4"/>
  <c r="M52" i="4"/>
  <c r="M55" i="4"/>
  <c r="M56" i="4"/>
  <c r="M57" i="4"/>
  <c r="M60" i="4"/>
  <c r="M39" i="4"/>
  <c r="M40" i="4"/>
  <c r="M43" i="4"/>
  <c r="M47" i="4"/>
  <c r="M48" i="4"/>
  <c r="M50" i="4"/>
  <c r="M25" i="4"/>
  <c r="M28" i="4"/>
  <c r="M29" i="4"/>
  <c r="M31" i="4"/>
  <c r="M32" i="4"/>
  <c r="M33" i="4"/>
  <c r="M5" i="4"/>
  <c r="M6" i="4"/>
  <c r="M10" i="4"/>
  <c r="M11" i="4"/>
  <c r="M15" i="4"/>
  <c r="M16" i="4"/>
  <c r="M23" i="4"/>
  <c r="M24" i="4"/>
  <c r="P3" i="4"/>
  <c r="I61" i="4" s="1"/>
  <c r="L9" i="5"/>
  <c r="L8" i="5"/>
  <c r="L7" i="5"/>
  <c r="L6" i="5"/>
  <c r="P3" i="5"/>
  <c r="L3" i="5"/>
  <c r="L2" i="5"/>
  <c r="M3" i="2"/>
  <c r="M4" i="2"/>
  <c r="M5" i="2"/>
  <c r="M6" i="2"/>
  <c r="M7" i="2"/>
  <c r="M11" i="2"/>
  <c r="M12" i="2"/>
  <c r="M13" i="2"/>
  <c r="M14" i="2"/>
  <c r="M15" i="2"/>
  <c r="M16" i="2"/>
  <c r="M17" i="2"/>
  <c r="M18" i="2"/>
  <c r="M19" i="2"/>
  <c r="M20" i="2"/>
  <c r="M21" i="2"/>
  <c r="M22" i="2"/>
  <c r="M2" i="2"/>
  <c r="Q3" i="2"/>
  <c r="I25" i="2" s="1"/>
  <c r="I45" i="4" l="1"/>
  <c r="I31" i="4"/>
  <c r="I10" i="4"/>
  <c r="I7" i="4"/>
  <c r="I68" i="4"/>
  <c r="I44" i="4"/>
  <c r="I9" i="4"/>
  <c r="I36" i="4"/>
  <c r="I8" i="4"/>
  <c r="I52" i="4"/>
  <c r="I29" i="4"/>
  <c r="I67" i="4"/>
  <c r="I47" i="4"/>
  <c r="I28" i="4"/>
  <c r="I66" i="4"/>
  <c r="I46" i="4"/>
  <c r="I15" i="4"/>
  <c r="I65" i="4"/>
  <c r="I55" i="4"/>
  <c r="I23" i="4"/>
  <c r="I21" i="4"/>
  <c r="I54" i="4"/>
  <c r="I38" i="4"/>
  <c r="I22" i="4"/>
  <c r="I76" i="4"/>
  <c r="I20" i="4"/>
  <c r="I39" i="4"/>
  <c r="I17" i="4"/>
  <c r="I53" i="4"/>
  <c r="I37" i="4"/>
  <c r="I16" i="4"/>
  <c r="I75" i="4"/>
  <c r="I19" i="4"/>
  <c r="I74" i="4"/>
  <c r="I18" i="4"/>
  <c r="I59" i="4"/>
  <c r="I51" i="4"/>
  <c r="I27" i="4"/>
  <c r="I14" i="4"/>
  <c r="I64" i="4"/>
  <c r="I70" i="4"/>
  <c r="I58" i="4"/>
  <c r="I50" i="4"/>
  <c r="I42" i="4"/>
  <c r="I34" i="4"/>
  <c r="I26" i="4"/>
  <c r="I13" i="4"/>
  <c r="I5" i="4"/>
  <c r="I72" i="4"/>
  <c r="I63" i="4"/>
  <c r="I35" i="4"/>
  <c r="I6" i="4"/>
  <c r="I57" i="4"/>
  <c r="I49" i="4"/>
  <c r="I41" i="4"/>
  <c r="I33" i="4"/>
  <c r="I25" i="4"/>
  <c r="I12" i="4"/>
  <c r="I4" i="4"/>
  <c r="I71" i="4"/>
  <c r="I62" i="4"/>
  <c r="I43" i="4"/>
  <c r="I73" i="4"/>
  <c r="I56" i="4"/>
  <c r="I48" i="4"/>
  <c r="I40" i="4"/>
  <c r="I32" i="4"/>
  <c r="I24" i="4"/>
  <c r="I11" i="4"/>
  <c r="I3" i="4"/>
  <c r="I69" i="4"/>
  <c r="I2" i="2"/>
  <c r="I7" i="5"/>
  <c r="I13" i="5"/>
  <c r="I8" i="5"/>
  <c r="I3" i="5"/>
  <c r="I6" i="5"/>
  <c r="I9" i="5"/>
  <c r="I11" i="5"/>
  <c r="I12" i="5"/>
  <c r="M42" i="4"/>
  <c r="I2" i="5"/>
  <c r="I10" i="5"/>
  <c r="I4" i="5"/>
  <c r="I5" i="5"/>
  <c r="I15" i="2"/>
  <c r="I4" i="2"/>
  <c r="I8" i="2"/>
  <c r="I24" i="2"/>
  <c r="I14" i="2"/>
  <c r="I3" i="2"/>
  <c r="I23" i="2"/>
  <c r="I21" i="2"/>
  <c r="I13" i="2"/>
  <c r="I30" i="2"/>
  <c r="I20" i="2"/>
  <c r="I12" i="2"/>
  <c r="I29" i="2"/>
  <c r="I22" i="2"/>
  <c r="I19" i="2"/>
  <c r="I28" i="2"/>
  <c r="I18" i="2"/>
  <c r="I27" i="2"/>
  <c r="I17" i="2"/>
  <c r="I6" i="2"/>
  <c r="I26" i="2"/>
  <c r="I11" i="2"/>
  <c r="I7" i="2"/>
  <c r="I10" i="2"/>
  <c r="I9" i="2"/>
  <c r="I16" i="2"/>
  <c r="I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tc={8C6A5C74-C86F-409A-AEFC-7E3FC8E3B114}</author>
    <author>tc={877DAF3C-5075-4BFB-B05D-11BF67E3B9CE}</author>
    <author>tc={83A1CC49-465B-4053-8D0A-6683CA5A0358}</author>
    <author>tc={CA3A8624-DC8A-4EA4-88B3-310D98A827F8}</author>
    <author>tc={74188CBA-CB6D-45FE-BA0F-3F27DCD0BBA1}</author>
    <author>tc={9BBDDA75-C557-453A-9137-0429E7155CA7}</author>
    <author>tc={42C4F108-77BD-491E-A44C-5B9C11E90037}</author>
    <author>tc={DAE52D20-9EE0-4B79-9AF2-CCCB61EC8C10}</author>
  </authors>
  <commentList>
    <comment ref="E1" authorId="0" shapeId="0" xr:uid="{8C6A5C74-C86F-409A-AEFC-7E3FC8E3B114}">
      <text>
        <t>[Threaded comment]
Your version of Excel allows you to read this threaded comment; however, any edits to it will get removed if the file is opened in a newer version of Excel. Learn more: https://go.microsoft.com/fwlink/?linkid=870924
Comment:
     (miles)</t>
      </text>
    </comment>
    <comment ref="F1" authorId="1" shapeId="0" xr:uid="{877DAF3C-5075-4BFB-B05D-11BF67E3B9CE}">
      <text>
        <t>[Threaded comment]
Your version of Excel allows you to read this threaded comment; however, any edits to it will get removed if the file is opened in a newer version of Excel. Learn more: https://go.microsoft.com/fwlink/?linkid=870924
Comment:
    (KwH/unit)</t>
      </text>
    </comment>
    <comment ref="G1" authorId="2" shapeId="0" xr:uid="{83A1CC49-465B-4053-8D0A-6683CA5A0358}">
      <text>
        <t>[Threaded comment]
Your version of Excel allows you to read this threaded comment; however, any edits to it will get removed if the file is opened in a newer version of Excel. Learn more: https://go.microsoft.com/fwlink/?linkid=870924
Comment:
    (tonnes/unit)</t>
      </text>
    </comment>
    <comment ref="H1" authorId="3" shapeId="0" xr:uid="{CA3A8624-DC8A-4EA4-88B3-310D98A827F8}">
      <text>
        <t>[Threaded comment]
Your version of Excel allows you to read this threaded comment; however, any edits to it will get removed if the file is opened in a newer version of Excel. Learn more: https://go.microsoft.com/fwlink/?linkid=870924
Comment:
    (kg/unit)</t>
      </text>
    </comment>
    <comment ref="I1" authorId="4" shapeId="0" xr:uid="{74188CBA-CB6D-45FE-BA0F-3F27DCD0BBA1}">
      <text>
        <t>[Threaded comment]
Your version of Excel allows you to read this threaded comment; however, any edits to it will get removed if the file is opened in a newer version of Excel. Learn more: https://go.microsoft.com/fwlink/?linkid=870924
Comment:
    CO2e kg/unit</t>
      </text>
    </comment>
    <comment ref="J1" authorId="5" shapeId="0" xr:uid="{9BBDDA75-C557-453A-9137-0429E7155CA7}">
      <text>
        <t>[Threaded comment]
Your version of Excel allows you to read this threaded comment; however, any edits to it will get removed if the file is opened in a newer version of Excel. Learn more: https://go.microsoft.com/fwlink/?linkid=870924
Comment:
    unit</t>
      </text>
    </comment>
    <comment ref="K1" authorId="6" shapeId="0" xr:uid="{42C4F108-77BD-491E-A44C-5B9C11E90037}">
      <text>
        <t>[Threaded comment]
Your version of Excel allows you to read this threaded comment; however, any edits to it will get removed if the file is opened in a newer version of Excel. Learn more: https://go.microsoft.com/fwlink/?linkid=870924
Comment:
    £/unit.days</t>
      </text>
    </comment>
    <comment ref="L1" authorId="7" shapeId="0" xr:uid="{DAE52D20-9EE0-4B79-9AF2-CCCB61EC8C10}">
      <text>
        <t>[Threaded comment]
Your version of Excel allows you to read this threaded comment; however, any edits to it will get removed if the file is opened in a newer version of Excel. Learn more: https://go.microsoft.com/fwlink/?linkid=870924
Comment:
    £/unit.leadtime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tc={A2E1A5AA-C969-41BC-BE8F-7DACDB34ED25}</author>
    <author>tc={A347329E-BE4B-450E-8B2C-28274B3230E6}</author>
    <author>tc={4CF2CB0D-91EC-48F4-BE72-BCECDD954303}</author>
    <author>tc={58FE8A43-0223-499C-9FCC-F748770EFAFF}</author>
    <author>tc={A23B088B-4E2C-4A66-8D79-4F06F4F799A8}</author>
    <author>tc={53AC7C54-B132-4649-9F9B-98D3E5602318}</author>
    <author>tc={1508FCCA-DB96-4D4D-9328-6232B254A7AA}</author>
    <author>tc={F4173A11-F5B1-4CB9-A41D-46FF63933F18}</author>
    <author>tc={0FCBAD29-B53D-47D8-ACC4-0BD1F103F15C}</author>
  </authors>
  <commentList>
    <comment ref="E1" authorId="0" shapeId="0" xr:uid="{A2E1A5AA-C969-41BC-BE8F-7DACDB34ED25}">
      <text>
        <t>[Threaded comment]
Your version of Excel allows you to read this threaded comment; however, any edits to it will get removed if the file is opened in a newer version of Excel. Learn more: https://go.microsoft.com/fwlink/?linkid=870924
Comment:
     (miles)</t>
      </text>
    </comment>
    <comment ref="F1" authorId="1" shapeId="0" xr:uid="{A347329E-BE4B-450E-8B2C-28274B3230E6}">
      <text>
        <t>[Threaded comment]
Your version of Excel allows you to read this threaded comment; however, any edits to it will get removed if the file is opened in a newer version of Excel. Learn more: https://go.microsoft.com/fwlink/?linkid=870924
Comment:
    (KwH/unit)</t>
      </text>
    </comment>
    <comment ref="G1" authorId="2" shapeId="0" xr:uid="{4CF2CB0D-91EC-48F4-BE72-BCECDD954303}">
      <text>
        <t>[Threaded comment]
Your version of Excel allows you to read this threaded comment; however, any edits to it will get removed if the file is opened in a newer version of Excel. Learn more: https://go.microsoft.com/fwlink/?linkid=870924
Comment:
    (tonnes/unit)</t>
      </text>
    </comment>
    <comment ref="H1" authorId="3" shapeId="0" xr:uid="{58FE8A43-0223-499C-9FCC-F748770EFAFF}">
      <text>
        <t>[Threaded comment]
Your version of Excel allows you to read this threaded comment; however, any edits to it will get removed if the file is opened in a newer version of Excel. Learn more: https://go.microsoft.com/fwlink/?linkid=870924
Comment:
    (kg/unit)</t>
      </text>
    </comment>
    <comment ref="I1" authorId="4" shapeId="0" xr:uid="{A23B088B-4E2C-4A66-8D79-4F06F4F799A8}">
      <text>
        <t>[Threaded comment]
Your version of Excel allows you to read this threaded comment; however, any edits to it will get removed if the file is opened in a newer version of Excel. Learn more: https://go.microsoft.com/fwlink/?linkid=870924
Comment:
    CO2e kg/unit</t>
      </text>
    </comment>
    <comment ref="J1" authorId="5" shapeId="0" xr:uid="{53AC7C54-B132-4649-9F9B-98D3E5602318}">
      <text>
        <t>[Threaded comment]
Your version of Excel allows you to read this threaded comment; however, any edits to it will get removed if the file is opened in a newer version of Excel. Learn more: https://go.microsoft.com/fwlink/?linkid=870924
Comment:
    £/unit</t>
      </text>
    </comment>
    <comment ref="K1" authorId="6" shapeId="0" xr:uid="{1508FCCA-DB96-4D4D-9328-6232B254A7AA}">
      <text>
        <t>[Threaded comment]
Your version of Excel allows you to read this threaded comment; however, any edits to it will get removed if the file is opened in a newer version of Excel. Learn more: https://go.microsoft.com/fwlink/?linkid=870924
Comment:
    unit</t>
      </text>
    </comment>
    <comment ref="L1" authorId="7" shapeId="0" xr:uid="{F4173A11-F5B1-4CB9-A41D-46FF63933F18}">
      <text>
        <t>[Threaded comment]
Your version of Excel allows you to read this threaded comment; however, any edits to it will get removed if the file is opened in a newer version of Excel. Learn more: https://go.microsoft.com/fwlink/?linkid=870924
Comment:
    £/unit.days</t>
      </text>
    </comment>
    <comment ref="M1" authorId="8" shapeId="0" xr:uid="{0FCBAD29-B53D-47D8-ACC4-0BD1F103F15C}">
      <text>
        <t>[Threaded comment]
Your version of Excel allows you to read this threaded comment; however, any edits to it will get removed if the file is opened in a newer version of Excel. Learn more: https://go.microsoft.com/fwlink/?linkid=870924
Comment:
    £/unit.leadtime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tc={3E54BC3E-ED20-47D7-8100-56F4D923CDA4}</author>
    <author>tc={D8966ADC-D14B-4730-9AD4-DF95B51D84E1}</author>
    <author>tc={4BA0B659-4DBC-45A1-9894-56C17138BAAB}</author>
    <author>tc={2F64B577-548F-4A0B-A0C7-8E23C702635D}</author>
    <author>tc={FAFD9A0F-66BC-4B47-8F74-589BCCDA0479}</author>
    <author>tc={BF4F8DD3-C99B-4666-AD09-FF4A1444A9D4}</author>
    <author>tc={B7A8561A-54E9-479D-976D-8F6551C8F1CD}</author>
    <author>tc={677BBFFC-16E7-4BE7-A434-845CC5A73A1B}</author>
    <author>tc={6EBF0B39-5698-446B-AE3F-2154503F396A}</author>
  </authors>
  <commentList>
    <comment ref="E1" authorId="0" shapeId="0" xr:uid="{3E54BC3E-ED20-47D7-8100-56F4D923CDA4}">
      <text>
        <t>[Threaded comment]
Your version of Excel allows you to read this threaded comment; however, any edits to it will get removed if the file is opened in a newer version of Excel. Learn more: https://go.microsoft.com/fwlink/?linkid=870924
Comment:
     (miles)</t>
      </text>
    </comment>
    <comment ref="F1" authorId="1" shapeId="0" xr:uid="{D8966ADC-D14B-4730-9AD4-DF95B51D84E1}">
      <text>
        <t>[Threaded comment]
Your version of Excel allows you to read this threaded comment; however, any edits to it will get removed if the file is opened in a newer version of Excel. Learn more: https://go.microsoft.com/fwlink/?linkid=870924
Comment:
    (KwH/unit)</t>
      </text>
    </comment>
    <comment ref="G1" authorId="2" shapeId="0" xr:uid="{4BA0B659-4DBC-45A1-9894-56C17138BAAB}">
      <text>
        <t>[Threaded comment]
Your version of Excel allows you to read this threaded comment; however, any edits to it will get removed if the file is opened in a newer version of Excel. Learn more: https://go.microsoft.com/fwlink/?linkid=870924
Comment:
    (tonnes/unit)</t>
      </text>
    </comment>
    <comment ref="H1" authorId="3" shapeId="0" xr:uid="{2F64B577-548F-4A0B-A0C7-8E23C702635D}">
      <text>
        <t>[Threaded comment]
Your version of Excel allows you to read this threaded comment; however, any edits to it will get removed if the file is opened in a newer version of Excel. Learn more: https://go.microsoft.com/fwlink/?linkid=870924
Comment:
    (kg/unit)</t>
      </text>
    </comment>
    <comment ref="I1" authorId="4" shapeId="0" xr:uid="{FAFD9A0F-66BC-4B47-8F74-589BCCDA0479}">
      <text>
        <t>[Threaded comment]
Your version of Excel allows you to read this threaded comment; however, any edits to it will get removed if the file is opened in a newer version of Excel. Learn more: https://go.microsoft.com/fwlink/?linkid=870924
Comment:
    CO2e kg/unit</t>
      </text>
    </comment>
    <comment ref="J1" authorId="5" shapeId="0" xr:uid="{BF4F8DD3-C99B-4666-AD09-FF4A1444A9D4}">
      <text>
        <t>[Threaded comment]
Your version of Excel allows you to read this threaded comment; however, any edits to it will get removed if the file is opened in a newer version of Excel. Learn more: https://go.microsoft.com/fwlink/?linkid=870924
Comment:
    £/unit</t>
      </text>
    </comment>
    <comment ref="K1" authorId="6" shapeId="0" xr:uid="{B7A8561A-54E9-479D-976D-8F6551C8F1CD}">
      <text>
        <t>[Threaded comment]
Your version of Excel allows you to read this threaded comment; however, any edits to it will get removed if the file is opened in a newer version of Excel. Learn more: https://go.microsoft.com/fwlink/?linkid=870924
Comment:
    unit</t>
      </text>
    </comment>
    <comment ref="L1" authorId="7" shapeId="0" xr:uid="{677BBFFC-16E7-4BE7-A434-845CC5A73A1B}">
      <text>
        <t>[Threaded comment]
Your version of Excel allows you to read this threaded comment; however, any edits to it will get removed if the file is opened in a newer version of Excel. Learn more: https://go.microsoft.com/fwlink/?linkid=870924
Comment:
    £/unit.days</t>
      </text>
    </comment>
    <comment ref="M1" authorId="8" shapeId="0" xr:uid="{6EBF0B39-5698-446B-AE3F-2154503F396A}">
      <text>
        <t>[Threaded comment]
Your version of Excel allows you to read this threaded comment; however, any edits to it will get removed if the file is opened in a newer version of Excel. Learn more: https://go.microsoft.com/fwlink/?linkid=870924
Comment:
    £/unit.leadtime</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3"/>
        </ext>
      </extLst>
    </bk>
    <bk>
      <extLst>
        <ext uri="{3e2802c4-a4d2-4d8b-9148-e3be6c30e623}">
          <xlrd:rvb i="26"/>
        </ext>
      </extLst>
    </bk>
    <bk>
      <extLst>
        <ext uri="{3e2802c4-a4d2-4d8b-9148-e3be6c30e623}">
          <xlrd:rvb i="37"/>
        </ext>
      </extLst>
    </bk>
    <bk>
      <extLst>
        <ext uri="{3e2802c4-a4d2-4d8b-9148-e3be6c30e623}">
          <xlrd:rvb i="48"/>
        </ext>
      </extLst>
    </bk>
    <bk>
      <extLst>
        <ext uri="{3e2802c4-a4d2-4d8b-9148-e3be6c30e623}">
          <xlrd:rvb i="60"/>
        </ext>
      </extLst>
    </bk>
    <bk>
      <extLst>
        <ext uri="{3e2802c4-a4d2-4d8b-9148-e3be6c30e623}">
          <xlrd:rvb i="69"/>
        </ext>
      </extLst>
    </bk>
    <bk>
      <extLst>
        <ext uri="{3e2802c4-a4d2-4d8b-9148-e3be6c30e623}">
          <xlrd:rvb i="79"/>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<sst xmlns="http://schemas.openxmlformats.org/spreadsheetml/2006/main" count="234" uniqueCount="43">
  <si>
    <t>Demand A</t>
  </si>
  <si>
    <t>Demand B</t>
  </si>
  <si>
    <t>Demand C</t>
  </si>
  <si>
    <t>Activities</t>
  </si>
  <si>
    <t>Nodes</t>
  </si>
  <si>
    <t>Delivery</t>
  </si>
  <si>
    <t>Nodes_from</t>
  </si>
  <si>
    <t>Nodes_to</t>
  </si>
  <si>
    <t>Distance</t>
  </si>
  <si>
    <t>Manufacturing</t>
  </si>
  <si>
    <t>Locations</t>
  </si>
  <si>
    <t>Facilities</t>
  </si>
  <si>
    <t>Supplier</t>
  </si>
  <si>
    <t>Manufacturer</t>
  </si>
  <si>
    <t>Inventory</t>
  </si>
  <si>
    <t>Parameter</t>
  </si>
  <si>
    <t>Unit</t>
  </si>
  <si>
    <t>CO2e (kg/KwH)</t>
  </si>
  <si>
    <t>Source</t>
  </si>
  <si>
    <t>Transport</t>
  </si>
  <si>
    <t>Electricity</t>
  </si>
  <si>
    <t>Disposal</t>
  </si>
  <si>
    <t>Material Use</t>
  </si>
  <si>
    <t>CO2e (kg/ton)</t>
  </si>
  <si>
    <t>1 unit of product = 1 kg</t>
  </si>
  <si>
    <t>1 delivery carries ~500 units</t>
  </si>
  <si>
    <t>CO2e (kg/unit.mile)</t>
  </si>
  <si>
    <t>assumption:</t>
  </si>
  <si>
    <t>Material_Use</t>
  </si>
  <si>
    <t>GHG_Unit</t>
  </si>
  <si>
    <t>Initial_Inv</t>
  </si>
  <si>
    <t>Cost_Inv</t>
  </si>
  <si>
    <t>lead time = 2 days</t>
  </si>
  <si>
    <t>Cost_mfg</t>
  </si>
  <si>
    <t>Manufacture</t>
  </si>
  <si>
    <t>Distributor</t>
  </si>
  <si>
    <t>Retailer</t>
  </si>
  <si>
    <t>transport cost = £0.005/unit.mile.leadtime</t>
  </si>
  <si>
    <t>product price = £20/unit</t>
  </si>
  <si>
    <t>index</t>
  </si>
  <si>
    <t>Demand D</t>
  </si>
  <si>
    <t>Demand E</t>
  </si>
  <si>
    <t>Cost_process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</si>
</sst>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00_-;\-* #,##0.0000_-;_-* &quot;-&quot;??_-;_-@_-"/>
    <numFmt numFmtId="165" formatCode="_-* #,##0_-;\-* #,##0_-;_-* &quot;-&quot;??_-;_-@_-"/>
    <numFmt numFmtId="166" formatCode="0.0000"/>
  </numFmts>
  <fonts count="4"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right/>
      <top style="medium">
        <color indexed="64"/>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top/>
      <bottom style="medium">
        <color indexed="64"/>
      </bottom>
      <diagonal/>
    </border>
  </borders>
  <cellStyleXfs count="2">
    <xf numFmtId="0" fontId="0" fillId="0" borderId="0"/>
    <xf numFmtId="43" fontId="2" fillId="0" borderId="0" applyFont="0" applyFill="0" applyBorder="0" applyAlignment="0" applyProtection="0"/>
  </cellStyleXfs>
  <cellXfs count="66">
    <xf numFmtId="0" fontId="0" fillId="0" borderId="0" xfId="0"/>
    <xf numFmtId="0" fontId="1" fillId="0" borderId="1" xfId="0" applyFont="1" applyBorder="1" applyAlignment="1">
      <alignment horizontal="center" vertical="top"/>
    </xf>
    <xf numFmtId="0" fontId="0" fillId="0" borderId="0" xfId="0" applyAlignment="1">
      <alignment horizontal="left" vertical="center"/>
    </xf>
    <xf numFmtId="0" fontId="3" fillId="0" borderId="0" xfId="0" applyFont="1" applyAlignment="1">
      <alignment horizontal="center"/>
    </xf>
    <xf numFmtId="0" fontId="3" fillId="0" borderId="0" xfId="0" applyFont="1"/>
    <xf numFmtId="164" fontId="0" fillId="0" borderId="0" xfId="1" applyNumberFormat="1" applyFont="1"/>
    <xf numFmtId="0" fontId="3" fillId="0" borderId="1" xfId="0" applyFont="1" applyBorder="1" applyAlignment="1">
      <alignment horizontal="center" vertical="center"/>
    </xf>
    <xf numFmtId="0" fontId="0" fillId="0" borderId="1" xfId="0" applyBorder="1"/>
    <xf numFmtId="0" fontId="0" fillId="2" borderId="1" xfId="0" applyFill="1" applyBorder="1"/>
    <xf numFmtId="164" fontId="0" fillId="0" borderId="1" xfId="1" applyNumberFormat="1" applyFont="1" applyBorder="1"/>
    <xf numFmtId="0" fontId="0" fillId="0" borderId="1" xfId="0" applyBorder="1" applyAlignment="1">
      <alignment horizontal="right"/>
    </xf>
    <xf numFmtId="0" fontId="3" fillId="3" borderId="1" xfId="0" applyFont="1" applyFill="1" applyBorder="1" applyAlignment="1">
      <alignment horizontal="center" vertical="center"/>
    </xf>
    <xf numFmtId="164" fontId="3" fillId="3" borderId="1" xfId="1" applyNumberFormat="1" applyFont="1" applyFill="1" applyBorder="1" applyAlignment="1">
      <alignment horizontal="center" vertical="center"/>
    </xf>
    <xf numFmtId="164" fontId="3" fillId="4" borderId="1" xfId="1" applyNumberFormat="1" applyFont="1" applyFill="1" applyBorder="1" applyAlignment="1">
      <alignment horizontal="center" vertical="center"/>
    </xf>
    <xf numFmtId="164" fontId="0" fillId="2" borderId="1" xfId="1" applyNumberFormat="1" applyFont="1" applyFill="1" applyBorder="1"/>
    <xf numFmtId="165" fontId="3" fillId="4" borderId="1" xfId="1" applyNumberFormat="1" applyFont="1" applyFill="1" applyBorder="1" applyAlignment="1">
      <alignment horizontal="center" vertical="center"/>
    </xf>
    <xf numFmtId="165" fontId="0" fillId="0" borderId="1" xfId="1" applyNumberFormat="1" applyFont="1" applyBorder="1"/>
    <xf numFmtId="165" fontId="0" fillId="2" borderId="1" xfId="1" applyNumberFormat="1" applyFont="1" applyFill="1" applyBorder="1"/>
    <xf numFmtId="165" fontId="0" fillId="0" borderId="0" xfId="1" applyNumberFormat="1" applyFont="1"/>
    <xf numFmtId="164" fontId="0" fillId="0" borderId="1" xfId="1" applyNumberFormat="1" applyFont="1" applyFill="1" applyBorder="1"/>
    <xf numFmtId="1" fontId="3" fillId="0" borderId="0" xfId="1" applyNumberFormat="1" applyFont="1" applyBorder="1" applyAlignment="1">
      <alignment horizontal="center" vertical="center"/>
    </xf>
    <xf numFmtId="1" fontId="0" fillId="0" borderId="0" xfId="1" applyNumberFormat="1" applyFont="1" applyBorder="1"/>
    <xf numFmtId="1" fontId="0" fillId="0" borderId="0" xfId="1" applyNumberFormat="1" applyFont="1"/>
    <xf numFmtId="0" fontId="1" fillId="0" borderId="2" xfId="0" applyFont="1" applyBorder="1" applyAlignment="1">
      <alignment horizontal="center" vertical="top"/>
    </xf>
    <xf numFmtId="166" fontId="0" fillId="0" borderId="0" xfId="0" applyNumberFormat="1"/>
    <xf numFmtId="0" fontId="0" fillId="0" borderId="3" xfId="0" applyBorder="1"/>
    <xf numFmtId="0" fontId="0" fillId="2" borderId="3" xfId="0" applyFill="1" applyBorder="1"/>
    <xf numFmtId="164" fontId="0" fillId="0" borderId="3" xfId="1" applyNumberFormat="1" applyFont="1" applyBorder="1"/>
    <xf numFmtId="164" fontId="0" fillId="2" borderId="3" xfId="1" applyNumberFormat="1" applyFont="1" applyFill="1" applyBorder="1"/>
    <xf numFmtId="165" fontId="0" fillId="0" borderId="3" xfId="1" applyNumberFormat="1" applyFont="1" applyBorder="1"/>
    <xf numFmtId="0" fontId="0" fillId="0" borderId="4" xfId="0" applyBorder="1"/>
    <xf numFmtId="0" fontId="0" fillId="2" borderId="4" xfId="0" applyFill="1" applyBorder="1"/>
    <xf numFmtId="164" fontId="0" fillId="0" borderId="4" xfId="1" applyNumberFormat="1" applyFont="1" applyBorder="1"/>
    <xf numFmtId="164" fontId="0" fillId="2" borderId="4" xfId="1" applyNumberFormat="1" applyFont="1" applyFill="1" applyBorder="1"/>
    <xf numFmtId="165" fontId="0" fillId="0" borderId="4" xfId="1" applyNumberFormat="1" applyFont="1" applyBorder="1"/>
    <xf numFmtId="0" fontId="0" fillId="0" borderId="5" xfId="0" applyBorder="1"/>
    <xf numFmtId="0" fontId="0" fillId="0" borderId="6" xfId="0" applyBorder="1"/>
    <xf numFmtId="0" fontId="0" fillId="2" borderId="6" xfId="0" applyFill="1" applyBorder="1"/>
    <xf numFmtId="164" fontId="0" fillId="0" borderId="6" xfId="1" applyNumberFormat="1" applyFont="1" applyBorder="1"/>
    <xf numFmtId="164" fontId="0" fillId="2" borderId="6" xfId="1" applyNumberFormat="1" applyFont="1" applyFill="1" applyBorder="1"/>
    <xf numFmtId="165" fontId="0" fillId="0" borderId="6" xfId="1" applyNumberFormat="1" applyFont="1" applyBorder="1"/>
    <xf numFmtId="1" fontId="0" fillId="0" borderId="7" xfId="1" applyNumberFormat="1"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2" borderId="10" xfId="0" applyFill="1" applyBorder="1"/>
    <xf numFmtId="164" fontId="0" fillId="0" borderId="10" xfId="1" applyNumberFormat="1" applyFont="1" applyBorder="1"/>
    <xf numFmtId="164" fontId="0" fillId="2" borderId="10" xfId="1" applyNumberFormat="1" applyFont="1" applyFill="1" applyBorder="1"/>
    <xf numFmtId="165" fontId="0" fillId="0" borderId="10" xfId="1" applyNumberFormat="1" applyFont="1" applyBorder="1"/>
    <xf numFmtId="1" fontId="0" fillId="0" borderId="11" xfId="1" applyNumberFormat="1" applyFont="1" applyBorder="1"/>
    <xf numFmtId="0" fontId="0" fillId="0" borderId="11" xfId="0" applyBorder="1"/>
    <xf numFmtId="0" fontId="3" fillId="0" borderId="3" xfId="0" applyFont="1" applyBorder="1" applyAlignment="1">
      <alignment horizontal="center" vertical="center"/>
    </xf>
    <xf numFmtId="0" fontId="3" fillId="3" borderId="3" xfId="0" applyFont="1" applyFill="1" applyBorder="1" applyAlignment="1">
      <alignment horizontal="center" vertical="center"/>
    </xf>
    <xf numFmtId="164" fontId="3" fillId="3" borderId="3" xfId="1" applyNumberFormat="1" applyFont="1" applyFill="1" applyBorder="1" applyAlignment="1">
      <alignment horizontal="center" vertical="center"/>
    </xf>
    <xf numFmtId="164" fontId="3" fillId="4" borderId="3" xfId="1" applyNumberFormat="1" applyFont="1" applyFill="1" applyBorder="1" applyAlignment="1">
      <alignment horizontal="center" vertical="center"/>
    </xf>
    <xf numFmtId="165" fontId="3" fillId="4" borderId="3" xfId="1" applyNumberFormat="1" applyFont="1" applyFill="1" applyBorder="1" applyAlignment="1">
      <alignment horizontal="center" vertical="center"/>
    </xf>
    <xf numFmtId="165" fontId="0" fillId="2" borderId="4" xfId="1" applyNumberFormat="1" applyFont="1" applyFill="1" applyBorder="1"/>
    <xf numFmtId="165" fontId="0" fillId="2" borderId="6" xfId="1" applyNumberFormat="1" applyFont="1" applyFill="1" applyBorder="1"/>
    <xf numFmtId="0" fontId="3" fillId="0" borderId="7" xfId="0" applyFont="1" applyBorder="1" applyAlignment="1">
      <alignment horizontal="center"/>
    </xf>
    <xf numFmtId="0" fontId="0" fillId="0" borderId="7" xfId="0" applyBorder="1" applyAlignment="1">
      <alignment horizontal="left" vertical="center"/>
    </xf>
    <xf numFmtId="165" fontId="0" fillId="2" borderId="10" xfId="1" applyNumberFormat="1" applyFont="1" applyFill="1" applyBorder="1"/>
    <xf numFmtId="164" fontId="0" fillId="0" borderId="4" xfId="1" applyNumberFormat="1" applyFont="1" applyFill="1" applyBorder="1"/>
    <xf numFmtId="0" fontId="0" fillId="5" borderId="1" xfId="0" applyFill="1" applyBorder="1"/>
    <xf numFmtId="1" fontId="0" fillId="0" borderId="1" xfId="1" applyNumberFormat="1" applyFont="1" applyBorder="1"/>
    <xf numFmtId="0" fontId="3" fillId="0" borderId="0" xfId="0" applyFont="1" applyAlignment="1">
      <alignment horizontal="center" vertic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Array" Target="richData/rdarray.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microsoft.com/office/2020/07/relationships/rdRichValueWebImage" Target="richData/rdRichValueWebImage.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ichStyles" Target="richData/rich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228600</xdr:colOff>
      <xdr:row>9</xdr:row>
      <xdr:rowOff>0</xdr:rowOff>
    </xdr:from>
    <xdr:to>
      <xdr:col>23</xdr:col>
      <xdr:colOff>204997</xdr:colOff>
      <xdr:row>19</xdr:row>
      <xdr:rowOff>18562</xdr:rowOff>
    </xdr:to>
    <xdr:pic>
      <xdr:nvPicPr>
        <xdr:cNvPr id="2" name="Picture 1">
          <a:extLst>
            <a:ext uri="{FF2B5EF4-FFF2-40B4-BE49-F238E27FC236}">
              <a16:creationId xmlns:a16="http://schemas.microsoft.com/office/drawing/2014/main" id="{81D05AF8-9223-4A7B-B2E7-8FE5C1A8F3CD}"/>
            </a:ext>
          </a:extLst>
        </xdr:cNvPr>
        <xdr:cNvPicPr>
          <a:picLocks noChangeAspect="1"/>
        </xdr:cNvPicPr>
      </xdr:nvPicPr>
      <xdr:blipFill>
        <a:blip xmlns:r="http://schemas.openxmlformats.org/officeDocument/2006/relationships" r:embed="rId1"/>
        <a:stretch>
          <a:fillRect/>
        </a:stretch>
      </xdr:blipFill>
      <xdr:spPr>
        <a:xfrm>
          <a:off x="18345150" y="1701800"/>
          <a:ext cx="3951497" cy="18600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228600</xdr:colOff>
      <xdr:row>12</xdr:row>
      <xdr:rowOff>44450</xdr:rowOff>
    </xdr:from>
    <xdr:to>
      <xdr:col>24</xdr:col>
      <xdr:colOff>204997</xdr:colOff>
      <xdr:row>22</xdr:row>
      <xdr:rowOff>63012</xdr:rowOff>
    </xdr:to>
    <xdr:pic>
      <xdr:nvPicPr>
        <xdr:cNvPr id="4" name="Picture 3">
          <a:extLst>
            <a:ext uri="{FF2B5EF4-FFF2-40B4-BE49-F238E27FC236}">
              <a16:creationId xmlns:a16="http://schemas.microsoft.com/office/drawing/2014/main" id="{81BAF69C-8C5D-437F-9955-FAB3CA49361F}"/>
            </a:ext>
          </a:extLst>
        </xdr:cNvPr>
        <xdr:cNvPicPr>
          <a:picLocks noChangeAspect="1"/>
        </xdr:cNvPicPr>
      </xdr:nvPicPr>
      <xdr:blipFill>
        <a:blip xmlns:r="http://schemas.openxmlformats.org/officeDocument/2006/relationships" r:embed="rId1"/>
        <a:stretch>
          <a:fillRect/>
        </a:stretch>
      </xdr:blipFill>
      <xdr:spPr>
        <a:xfrm>
          <a:off x="12960350" y="1701800"/>
          <a:ext cx="3951497" cy="18600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228600</xdr:colOff>
      <xdr:row>23</xdr:row>
      <xdr:rowOff>44450</xdr:rowOff>
    </xdr:from>
    <xdr:to>
      <xdr:col>23</xdr:col>
      <xdr:colOff>204997</xdr:colOff>
      <xdr:row>33</xdr:row>
      <xdr:rowOff>32532</xdr:rowOff>
    </xdr:to>
    <xdr:pic>
      <xdr:nvPicPr>
        <xdr:cNvPr id="2" name="Picture 1">
          <a:extLst>
            <a:ext uri="{FF2B5EF4-FFF2-40B4-BE49-F238E27FC236}">
              <a16:creationId xmlns:a16="http://schemas.microsoft.com/office/drawing/2014/main" id="{97A6B21B-64BF-46C3-A78E-04D914D802A1}"/>
            </a:ext>
          </a:extLst>
        </xdr:cNvPr>
        <xdr:cNvPicPr>
          <a:picLocks noChangeAspect="1"/>
        </xdr:cNvPicPr>
      </xdr:nvPicPr>
      <xdr:blipFill>
        <a:blip xmlns:r="http://schemas.openxmlformats.org/officeDocument/2006/relationships" r:embed="rId1"/>
        <a:stretch>
          <a:fillRect/>
        </a:stretch>
      </xdr:blipFill>
      <xdr:spPr>
        <a:xfrm>
          <a:off x="18345150" y="1701800"/>
          <a:ext cx="3951497" cy="18600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0</xdr:colOff>
      <xdr:row>3</xdr:row>
      <xdr:rowOff>31750</xdr:rowOff>
    </xdr:from>
    <xdr:to>
      <xdr:col>16</xdr:col>
      <xdr:colOff>293897</xdr:colOff>
      <xdr:row>13</xdr:row>
      <xdr:rowOff>50312</xdr:rowOff>
    </xdr:to>
    <xdr:pic>
      <xdr:nvPicPr>
        <xdr:cNvPr id="4" name="Picture 3">
          <a:extLst>
            <a:ext uri="{FF2B5EF4-FFF2-40B4-BE49-F238E27FC236}">
              <a16:creationId xmlns:a16="http://schemas.microsoft.com/office/drawing/2014/main" id="{7FB46FA2-E2A0-E7EB-2DB4-51D74D4A72ED}"/>
            </a:ext>
          </a:extLst>
        </xdr:cNvPr>
        <xdr:cNvPicPr>
          <a:picLocks noChangeAspect="1"/>
        </xdr:cNvPicPr>
      </xdr:nvPicPr>
      <xdr:blipFill>
        <a:blip xmlns:r="http://schemas.openxmlformats.org/officeDocument/2006/relationships" r:embed="rId1"/>
        <a:stretch>
          <a:fillRect/>
        </a:stretch>
      </xdr:blipFill>
      <xdr:spPr>
        <a:xfrm>
          <a:off x="7327900" y="584200"/>
          <a:ext cx="3951497" cy="186006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ifny Rachman" id="{C8D4AA5D-048F-403C-B435-DA9855C72246}" userId="S::rifny.rachman@postgrad.manchester.ac.uk::74281de4-1185-4c85-97e2-3b75c10536f5" providerId="AD"/>
</personList>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Leicester" TargetMode="External"/><Relationship Id="rId13" Type="http://schemas.openxmlformats.org/officeDocument/2006/relationships/hyperlink" Target="https://www.bing.com/th?id=OSK.473576345024f3651b8b4c87757f261d&amp;qlt=95" TargetMode="External"/><Relationship Id="rId3" Type="http://schemas.openxmlformats.org/officeDocument/2006/relationships/hyperlink" Target="https://www.bing.com/th?id=OSK.3666846595b7a7ef3fd0663d5b9791f3&amp;qlt=95" TargetMode="External"/><Relationship Id="rId7" Type="http://schemas.openxmlformats.org/officeDocument/2006/relationships/hyperlink" Target="https://www.bing.com/th?id=OSK.1c8661b5d4ad59e13806145f02c6da92&amp;qlt=95" TargetMode="External"/><Relationship Id="rId12" Type="http://schemas.openxmlformats.org/officeDocument/2006/relationships/hyperlink" Target="https://www.bing.com/images/search?form=xlimg&amp;q=Glasgow" TargetMode="External"/><Relationship Id="rId2" Type="http://schemas.openxmlformats.org/officeDocument/2006/relationships/hyperlink" Target="https://www.bing.com/images/search?form=xlimg&amp;q=Liverpool" TargetMode="External"/><Relationship Id="rId16" Type="http://schemas.openxmlformats.org/officeDocument/2006/relationships/hyperlink" Target="https://www.bing.com/images/search?form=xlimg&amp;q=Cardiff" TargetMode="External"/><Relationship Id="rId1" Type="http://schemas.openxmlformats.org/officeDocument/2006/relationships/hyperlink" Target="https://www.bing.com/th?id=OSK.e14eaea1fe35b1910dd18d9c364abbcc&amp;qlt=95" TargetMode="External"/><Relationship Id="rId6" Type="http://schemas.openxmlformats.org/officeDocument/2006/relationships/hyperlink" Target="https://www.bing.com/images/search?form=xlimg&amp;q=Manchester" TargetMode="External"/><Relationship Id="rId11" Type="http://schemas.openxmlformats.org/officeDocument/2006/relationships/hyperlink" Target="https://www.bing.com/th?id=OSK.0415da9ddf302d4ef5c86242e29c962c&amp;qlt=95" TargetMode="External"/><Relationship Id="rId5" Type="http://schemas.openxmlformats.org/officeDocument/2006/relationships/hyperlink" Target="https://www.bing.com/th?id=OSK.2edbd933a451fc2b84484e92858c1b24&amp;qlt=95" TargetMode="External"/><Relationship Id="rId15" Type="http://schemas.openxmlformats.org/officeDocument/2006/relationships/hyperlink" Target="https://www.bing.com/th?id=OSK.66abe55ad16264c3959545a3b6793b37&amp;qlt=95" TargetMode="External"/><Relationship Id="rId10" Type="http://schemas.openxmlformats.org/officeDocument/2006/relationships/hyperlink" Target="https://www.bing.com/images/search?form=xlimg&amp;q=Birmingham" TargetMode="External"/><Relationship Id="rId4" Type="http://schemas.openxmlformats.org/officeDocument/2006/relationships/hyperlink" Target="https://www.bing.com/images/search?form=xlimg&amp;q=London" TargetMode="External"/><Relationship Id="rId9" Type="http://schemas.openxmlformats.org/officeDocument/2006/relationships/hyperlink" Target="https://www.bing.com/th?id=OSK.b027aab88164834870bd8b1f2c212577&amp;qlt=95" TargetMode="External"/><Relationship Id="rId14" Type="http://schemas.openxmlformats.org/officeDocument/2006/relationships/hyperlink" Target="https://www.bing.com/images/search?form=xlimg&amp;q=Carlisle"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Srd>
</file>

<file path=xl/richData/rdarray.xml><?xml version="1.0" encoding="utf-8"?>
<arrayData xmlns="http://schemas.microsoft.com/office/spreadsheetml/2017/richdata2" count="6">
  <a r="1">
    <v t="r">7</v>
  </a>
  <a r="1">
    <v t="r">19</v>
  </a>
  <a r="1">
    <v t="s">Greenwich Mean Time</v>
  </a>
  <a r="1">
    <v t="r">31</v>
  </a>
  <a r="1">
    <v t="r">42</v>
  </a>
  <a r="1">
    <v t="r">54</v>
  </a>
</arrayData>
</file>

<file path=xl/richData/rdrichvalue.xml><?xml version="1.0" encoding="utf-8"?>
<rvData xmlns="http://schemas.microsoft.com/office/spreadsheetml/2017/richdata" count="87">
  <rv s="0">
    <v>536870912</v>
    <v>Liverpool</v>
    <v>a5642e81-20ab-a561-17cc-52a63926b210</v>
    <v>en-GB</v>
    <v>Map</v>
  </rv>
  <rv s="0">
    <v>536870912</v>
    <v>Merseyside</v>
    <v>8e04c30f-763f-780e-c01f-ccd70d51e4f7</v>
    <v>en-GB</v>
    <v>Map</v>
  </rv>
  <rv s="0">
    <v>536870912</v>
    <v>Lancashire</v>
    <v>d2ddd91b-d3db-c97c-d4e1-b66d033659fa</v>
    <v>en-GB</v>
    <v>Map</v>
  </rv>
  <rv s="1">
    <fb>111.84</fb>
    <v>8</v>
  </rv>
  <rv s="0">
    <v>536870912</v>
    <v>United Kingdom</v>
    <v>b1a5155a-6bb2-4646-8f7c-3e6b3a53c831</v>
    <v>en-GB</v>
    <v>Map</v>
  </rv>
  <rv s="2">
    <v>0</v>
    <v>6</v>
    <v>0</v>
    <v>7</v>
    <v>0</v>
    <v>Image of Liverpool</v>
  </rv>
  <rv s="1">
    <fb>53.407499999999999</fb>
    <v>9</v>
  </rv>
  <rv s="0">
    <v>805306368</v>
    <v>Mary Rasmussen (Mayor)</v>
    <v>46790953-c8d1-93fb-de01-772f3776c938</v>
    <v>en-GB</v>
    <v>Generic</v>
  </rv>
  <rv s="3">
    <v>0</v>
  </rv>
  <rv s="4">
    <v>https://www.bing.com/search?q=liverpool+england&amp;form=skydnc</v>
    <v>Learn more on Bing</v>
  </rv>
  <rv s="1">
    <fb>-2.9919444444444401</fb>
    <v>9</v>
  </rv>
  <rv s="1">
    <fb>513441</fb>
    <v>8</v>
  </rv>
  <rv s="5">
    <v>#VALUE!</v>
    <v>en-GB</v>
    <v>a5642e81-20ab-a561-17cc-52a63926b210</v>
    <v>536870912</v>
    <v>1</v>
    <v>1</v>
    <v>2</v>
    <v>Liverpool</v>
    <v>4</v>
    <v>5</v>
    <v>Map</v>
    <v>6</v>
    <v>7</v>
    <v>1</v>
    <v>2</v>
    <v>3</v>
    <v>4</v>
    <v>Liverpool is a city and metropolitan borough in Merseyside, North West England. It had a population of 486,100 at the 2021 census. The city is located on the eastern side of the Mersey Estuary, adjacent to the Irish Sea, and is approximately 178 ...</v>
    <v>5</v>
    <v>6</v>
    <v>8</v>
    <v>9</v>
    <v>10</v>
    <v>Liverpool</v>
    <v>11</v>
    <v>Liverpool</v>
    <v>mdp/vdpid/5470934657153368077</v>
  </rv>
  <rv s="0">
    <v>536870912</v>
    <v>London</v>
    <v>8e0ba7b6-4225-fa8a-6369-1b5294e602a5</v>
    <v>en-GB</v>
    <v>Map</v>
  </rv>
  <rv s="0">
    <v>536870912</v>
    <v>England</v>
    <v>280d39e8-7217-6863-6980-a8c20c211c89</v>
    <v>en-GB</v>
    <v>Map</v>
  </rv>
  <rv s="0">
    <v>536870912</v>
    <v>Greater London</v>
    <v>2ba8a441-178c-f2c0-26cb-a4b260b8c806</v>
    <v>en-GB</v>
    <v>Map</v>
  </rv>
  <rv s="1">
    <fb>1572</fb>
    <v>8</v>
  </rv>
  <rv s="2">
    <v>1</v>
    <v>6</v>
    <v>10</v>
    <v>7</v>
    <v>0</v>
    <v>Image of London</v>
  </rv>
  <rv s="1">
    <fb>51.507222222221998</fb>
    <v>9</v>
  </rv>
  <rv s="0">
    <v>805306368</v>
    <v>Sadiq Khan (Mayor)</v>
    <v>d7862dc2-4c03-1dc8-3412-7fe03041fdcb</v>
    <v>en-GB</v>
    <v>Generic</v>
  </rv>
  <rv s="3">
    <v>1</v>
  </rv>
  <rv s="4">
    <v>https://www.bing.com/search?q=london+england&amp;form=skydnc</v>
    <v>Learn more on Bing</v>
  </rv>
  <rv s="1">
    <fb>-0.1275</fb>
    <v>9</v>
  </rv>
  <rv s="1">
    <fb>8799728</fb>
    <v>8</v>
  </rv>
  <rv s="3">
    <v>2</v>
  </rv>
  <rv s="6">
    <v>#VALUE!</v>
    <v>en-GB</v>
    <v>8e0ba7b6-4225-fa8a-6369-1b5294e602a5</v>
    <v>536870912</v>
    <v>1</v>
    <v>11</v>
    <v>12</v>
    <v>London</v>
    <v>4</v>
    <v>5</v>
    <v>Map</v>
    <v>6</v>
    <v>13</v>
    <v>14</v>
    <v>15</v>
    <v>16</v>
    <v>4</v>
    <v>London is the capital and largest city of England, and the United Kingdom, with a population of around 8.8 million, and the largest city in Western Europe by metropolitan area, with a population of 14,800,000. It stands on the River Thames in ...</v>
    <v>17</v>
    <v>18</v>
    <v>20</v>
    <v>21</v>
    <v>22</v>
    <v>London</v>
    <v>23</v>
    <v>24</v>
    <v>London</v>
    <v>mdp/vdpid/5471798185326280713</v>
  </rv>
  <rv s="0">
    <v>536870912</v>
    <v>Manchester</v>
    <v>35dddbb1-7bb3-4072-bfd5-f9e6570713b0</v>
    <v>en-GB</v>
    <v>Map</v>
  </rv>
  <rv s="0">
    <v>536870912</v>
    <v>Greater Manchester</v>
    <v>cf7dfe28-9b1d-10b4-f50e-2c1b6453bab7</v>
    <v>en-GB</v>
    <v>Map</v>
  </rv>
  <rv s="1">
    <fb>115.6</fb>
    <v>8</v>
  </rv>
  <rv s="2">
    <v>2</v>
    <v>6</v>
    <v>14</v>
    <v>7</v>
    <v>0</v>
    <v>Image of Manchester</v>
  </rv>
  <rv s="1">
    <fb>53.466666666667003</fb>
    <v>9</v>
  </rv>
  <rv s="0">
    <v>805306368</v>
    <v>Yasmine Dar (Mayor)</v>
    <v>3298049e-13e3-7caf-a89b-67f578a5aff2</v>
    <v>en-GB</v>
    <v>Generic</v>
  </rv>
  <rv s="3">
    <v>3</v>
  </rv>
  <rv s="4">
    <v>https://www.bing.com/search?q=manchester+england&amp;form=skydnc</v>
    <v>Learn more on Bing</v>
  </rv>
  <rv s="1">
    <fb>-2.2333333333333001</fb>
    <v>9</v>
  </rv>
  <rv s="1">
    <fb>547627</fb>
    <v>8</v>
  </rv>
  <rv s="7">
    <v>#VALUE!</v>
    <v>en-GB</v>
    <v>35dddbb1-7bb3-4072-bfd5-f9e6570713b0</v>
    <v>536870912</v>
    <v>1</v>
    <v>15</v>
    <v>16</v>
    <v>Manchester</v>
    <v>4</v>
    <v>5</v>
    <v>Map</v>
    <v>6</v>
    <v>17</v>
    <v>27</v>
    <v>28</v>
    <v>4</v>
    <v>Manchester is a city and metropolitan borough of Greater Manchester, England, which had a population of 552,000 at the 2021 census. It is bordered by the Cheshire Plain to the south, the Pennines to the north and east, and the neighbouring city ...</v>
    <v>29</v>
    <v>30</v>
    <v>32</v>
    <v>33</v>
    <v>34</v>
    <v>Manchester</v>
    <v>35</v>
    <v>Manchester</v>
    <v>mdp/vdpid/5470569933580533764</v>
  </rv>
  <rv s="0">
    <v>536870912</v>
    <v>Leicester</v>
    <v>88af3d23-ab3c-0468-1391-254a59804943</v>
    <v>en-GB</v>
    <v>Map</v>
  </rv>
  <rv s="0">
    <v>536870912</v>
    <v>Leicestershire</v>
    <v>4b2d786f-4d40-dd9a-2c29-31c1db8a6dd3</v>
    <v>en-GB</v>
    <v>Map</v>
  </rv>
  <rv s="1">
    <fb>92</fb>
    <v>8</v>
  </rv>
  <rv s="2">
    <v>3</v>
    <v>6</v>
    <v>18</v>
    <v>7</v>
    <v>0</v>
    <v>Image of Leicester</v>
  </rv>
  <rv s="1">
    <fb>52.633333333332999</fb>
    <v>9</v>
  </rv>
  <rv s="0">
    <v>805306368</v>
    <v>George Cole (Mayor)</v>
    <v>056d291a-b8c5-ac97-9a21-733e959433eb</v>
    <v>en-GB</v>
    <v>Generic</v>
  </rv>
  <rv s="3">
    <v>4</v>
  </rv>
  <rv s="4">
    <v>https://www.bing.com/search?q=leicester+england&amp;form=skydnc</v>
    <v>Learn more on Bing</v>
  </rv>
  <rv s="1">
    <fb>-1.1333333333333</fb>
    <v>9</v>
  </rv>
  <rv s="1">
    <fb>464395</fb>
    <v>8</v>
  </rv>
  <rv s="7">
    <v>#VALUE!</v>
    <v>en-GB</v>
    <v>88af3d23-ab3c-0468-1391-254a59804943</v>
    <v>536870912</v>
    <v>1</v>
    <v>19</v>
    <v>16</v>
    <v>Leicester</v>
    <v>4</v>
    <v>5</v>
    <v>Map</v>
    <v>6</v>
    <v>7</v>
    <v>38</v>
    <v>39</v>
    <v>4</v>
    <v>Leicester is a city, unitary authority area, unparished area and the county town of Leicestershire in the East Midlands of England. It is the largest city in the East Midlands. Its population was 368,600 in 2021, increased by 38,800 from around ...</v>
    <v>40</v>
    <v>41</v>
    <v>43</v>
    <v>44</v>
    <v>45</v>
    <v>Leicester</v>
    <v>46</v>
    <v>Leicester</v>
    <v>mdp/vdpid/5471524162268823555</v>
  </rv>
  <rv s="0">
    <v>536870912</v>
    <v>Birmingham</v>
    <v>aaac0a14-911d-49c8-ac97-51d9f9100ad7</v>
    <v>en-GB</v>
    <v>Map</v>
  </rv>
  <rv s="0">
    <v>536870912</v>
    <v>West Midlands</v>
    <v>9bd4e05b-6a44-e4cf-88c9-980f33acdbd1</v>
    <v>en-GB</v>
    <v>Map</v>
  </rv>
  <rv s="0">
    <v>536870912</v>
    <v>Warwickshire</v>
    <v>f1173647-228f-1554-f0d8-39e325d478af</v>
    <v>en-GB</v>
    <v>Map</v>
  </rv>
  <rv s="1">
    <fb>267.77</fb>
    <v>8</v>
  </rv>
  <rv s="2">
    <v>4</v>
    <v>6</v>
    <v>20</v>
    <v>7</v>
    <v>0</v>
    <v>Image of Birmingham</v>
  </rv>
  <rv s="1">
    <fb>52.48</fb>
    <v>9</v>
  </rv>
  <rv s="0">
    <v>805306368</v>
    <v>Chaman Lal (Mayor)</v>
    <v>a560cdcb-b72e-7434-b478-b7297765adbb</v>
    <v>en-GB</v>
    <v>Generic</v>
  </rv>
  <rv s="3">
    <v>5</v>
  </rv>
  <rv s="4">
    <v>https://www.bing.com/search?q=birmingham+england&amp;form=skydnc</v>
    <v>Learn more on Bing</v>
  </rv>
  <rv s="1">
    <fb>-1.9025000000000001</fb>
    <v>9</v>
  </rv>
  <rv s="1">
    <fb>1137100</fb>
    <v>8</v>
  </rv>
  <rv s="5">
    <v>#VALUE!</v>
    <v>en-GB</v>
    <v>aaac0a14-911d-49c8-ac97-51d9f9100ad7</v>
    <v>536870912</v>
    <v>1</v>
    <v>21</v>
    <v>2</v>
    <v>Birmingham</v>
    <v>4</v>
    <v>5</v>
    <v>Map</v>
    <v>6</v>
    <v>22</v>
    <v>49</v>
    <v>50</v>
    <v>51</v>
    <v>4</v>
    <v>Birmingham is a city and metropolitan borough in the metropolitan county of West Midlands in England. It is the second-largest city in Britain – commonly referred to as the second city of the United Kingdom – with a population of 1.145 million ...</v>
    <v>52</v>
    <v>53</v>
    <v>55</v>
    <v>56</v>
    <v>57</v>
    <v>Birmingham</v>
    <v>58</v>
    <v>Birmingham</v>
    <v>mdp/vdpid/5471420093550297089</v>
  </rv>
  <rv s="0">
    <v>536870912</v>
    <v>Glasgow</v>
    <v>da2548ee-1b26-f939-06b4-2fae57e075e7</v>
    <v>en-GB</v>
    <v>Map</v>
  </rv>
  <rv s="0">
    <v>536870912</v>
    <v>Scotland</v>
    <v>a0377d96-1a18-f843-65ad-adcbc4acdc69</v>
    <v>en-GB</v>
    <v>Map</v>
  </rv>
  <rv s="1">
    <fb>3298</fb>
    <v>8</v>
  </rv>
  <rv s="2">
    <v>5</v>
    <v>6</v>
    <v>23</v>
    <v>7</v>
    <v>0</v>
    <v>Image of Glasgow</v>
  </rv>
  <rv s="1">
    <fb>55.8611111111111</fb>
    <v>9</v>
  </rv>
  <rv s="4">
    <v>https://www.bing.com/search?q=glasgow+scotland&amp;form=skydnc</v>
    <v>Learn more on Bing</v>
  </rv>
  <rv s="1">
    <fb>-4.25</fb>
    <v>9</v>
  </rv>
  <rv s="1">
    <fb>635640</fb>
    <v>8</v>
  </rv>
  <rv s="8">
    <v>#VALUE!</v>
    <v>en-GB</v>
    <v>da2548ee-1b26-f939-06b4-2fae57e075e7</v>
    <v>536870912</v>
    <v>1</v>
    <v>24</v>
    <v>25</v>
    <v>Glasgow</v>
    <v>4</v>
    <v>5</v>
    <v>Map</v>
    <v>6</v>
    <v>26</v>
    <v>61</v>
    <v>62</v>
    <v>4</v>
    <v>Glasgow is the most populous city in Scotland, the third-most populous city in the United Kingdom, and the 27th-most populous city in Europe. In 2022, it had an estimated population as a defined locality of 632,350 and anchored an urban ...</v>
    <v>63</v>
    <v>64</v>
    <v>65</v>
    <v>66</v>
    <v>Glasgow</v>
    <v>67</v>
    <v>Glasgow</v>
    <v>mdp/vdpid/5469673756190310401</v>
  </rv>
  <rv s="0">
    <v>536870912</v>
    <v>Carlisle</v>
    <v>184b6bb1-2a18-2572-e4c3-b331a8529585</v>
    <v>en-GB</v>
    <v>Map</v>
  </rv>
  <rv s="0">
    <v>536870912</v>
    <v>Cumbria</v>
    <v>a192dc6e-69b1-5d04-741f-67720ce0ebfc</v>
    <v>en-GB</v>
    <v>Map</v>
  </rv>
  <rv s="0">
    <v>536870912</v>
    <v>Carlisle</v>
    <v>c38506a0-9453-a04b-dfd9-ce291fd6b07a</v>
    <v>en-GB</v>
    <v>Map</v>
  </rv>
  <rv s="1">
    <fb>18.899999999999999</fb>
    <v>8</v>
  </rv>
  <rv s="2">
    <v>6</v>
    <v>6</v>
    <v>27</v>
    <v>7</v>
    <v>0</v>
    <v>Image of Carlisle</v>
  </rv>
  <rv s="1">
    <fb>54.8947222222222</fb>
    <v>9</v>
  </rv>
  <rv s="4">
    <v>https://www.bing.com/search?q=carlisle+cumbria&amp;form=skydnc</v>
    <v>Learn more on Bing</v>
  </rv>
  <rv s="1">
    <fb>-2.93638888888889</fb>
    <v>9</v>
  </rv>
  <rv s="1">
    <fb>75399</fb>
    <v>8</v>
  </rv>
  <rv s="9">
    <v>#VALUE!</v>
    <v>en-GB</v>
    <v>184b6bb1-2a18-2572-e4c3-b331a8529585</v>
    <v>536870912</v>
    <v>1</v>
    <v>28</v>
    <v>29</v>
    <v>Carlisle</v>
    <v>4</v>
    <v>5</v>
    <v>Map</v>
    <v>6</v>
    <v>7</v>
    <v>70</v>
    <v>71</v>
    <v>72</v>
    <v>4</v>
    <v>Carlisle is a cathedral city in the ceremonial county of Cumbria in England. It is the administrative centre of Cumberland Council which covers an area similar to the historic county of Cumberland. Carlisle's early history is marked by the ...</v>
    <v>73</v>
    <v>74</v>
    <v>75</v>
    <v>76</v>
    <v>Carlisle</v>
    <v>77</v>
    <v>Carlisle</v>
    <v>mdp/vdpid/5470273268629897217</v>
  </rv>
  <rv s="0">
    <v>536870912</v>
    <v>Cardiff</v>
    <v>cdfaa940-1a8c-2522-2bf5-e09831059c8c</v>
    <v>en-GB</v>
    <v>Map</v>
  </rv>
  <rv s="1">
    <fb>140.30000000000001</fb>
    <v>8</v>
  </rv>
  <rv s="2">
    <v>7</v>
    <v>6</v>
    <v>30</v>
    <v>7</v>
    <v>0</v>
    <v>Image of Cardiff</v>
  </rv>
  <rv s="1">
    <fb>51.481666666666698</fb>
    <v>9</v>
  </rv>
  <rv s="4">
    <v>https://www.bing.com/search?q=cardiff&amp;form=skydnc</v>
    <v>Learn more on Bing</v>
  </rv>
  <rv s="1">
    <fb>-3.1791666666666698</fb>
    <v>9</v>
  </rv>
  <rv s="1">
    <fb>361469</fb>
    <v>8</v>
  </rv>
  <rv s="10">
    <v>#VALUE!</v>
    <v>en-GB</v>
    <v>cdfaa940-1a8c-2522-2bf5-e09831059c8c</v>
    <v>536870912</v>
    <v>1</v>
    <v>31</v>
    <v>32</v>
    <v>Cardiff</v>
    <v>4</v>
    <v>5</v>
    <v>Map</v>
    <v>6</v>
    <v>7</v>
    <v>80</v>
    <v>4</v>
    <v>Cardiff is the capital and largest city of Wales. Cardiff had a population of 362,310 in 2021 and forms a principal area officially known as the City and County of Cardiff. The city is the eleventh largest in the United Kingdom. Located in the ...</v>
    <v>81</v>
    <v>82</v>
    <v>83</v>
    <v>84</v>
    <v>Cardiff</v>
    <v>85</v>
    <v>24</v>
    <v>Cardiff</v>
    <v>mdp/vdpid/5471226955279892482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6">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spbArrays>
  <spbData count="33">
    <spb s="0">
      <v xml:space="preserve">Wikipedia	</v>
      <v xml:space="preserve">CC BY-SA 3.0	</v>
      <v xml:space="preserve">https://en.wikipedia.org/wiki/Liverpool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2016</v>
    </spb>
    <spb s="8">
      <v>3</v>
    </spb>
    <spb s="8">
      <v>4</v>
    </spb>
    <spb s="0">
      <v xml:space="preserve">Wikipedia	</v>
      <v xml:space="preserve">CC BY-SA 3.0	</v>
      <v xml:space="preserve">https://en.wikipedia.org/wiki/London	</v>
      <v xml:space="preserve">https://creativecommons.org/licenses/by-sa/3.0	</v>
    </spb>
    <spb s="1">
      <v>10</v>
      <v>10</v>
      <v>10</v>
      <v>10</v>
      <v>10</v>
      <v>10</v>
      <v>10</v>
      <v>10</v>
      <v>10</v>
      <v>10</v>
    </spb>
    <spb s="2">
      <v>1</v>
      <v>Name</v>
      <v>LearnMoreOnLink</v>
    </spb>
    <spb s="7">
      <v>square km</v>
      <v>2021</v>
    </spb>
    <spb s="0">
      <v xml:space="preserve">Wikipedia	</v>
      <v xml:space="preserve">CC BY-SA 3.0	</v>
      <v xml:space="preserve">https://en.wikipedia.org/wiki/Manchester	</v>
      <v xml:space="preserve">https://creativecommons.org/licenses/by-sa/3.0	</v>
    </spb>
    <spb s="9">
      <v>14</v>
      <v>14</v>
      <v>14</v>
      <v>14</v>
      <v>14</v>
      <v>14</v>
      <v>14</v>
      <v>14</v>
      <v>14</v>
    </spb>
    <spb s="2">
      <v>2</v>
      <v>Name</v>
      <v>LearnMoreOnLink</v>
    </spb>
    <spb s="7">
      <v>square km</v>
      <v>2018</v>
    </spb>
    <spb s="0">
      <v xml:space="preserve">Wikipedia	</v>
      <v xml:space="preserve">CC BY-SA 3.0	</v>
      <v xml:space="preserve">https://en.wikipedia.org/wiki/Leicester	</v>
      <v xml:space="preserve">https://creativecommons.org/licenses/by-sa/3.0	</v>
    </spb>
    <spb s="9">
      <v>18</v>
      <v>18</v>
      <v>18</v>
      <v>18</v>
      <v>18</v>
      <v>18</v>
      <v>18</v>
      <v>18</v>
      <v>18</v>
    </spb>
    <spb s="0">
      <v xml:space="preserve">Wikipedia	</v>
      <v xml:space="preserve">CC BY-SA 3.0	</v>
      <v xml:space="preserve">https://en.wikipedia.org/wiki/Birmingham	</v>
      <v xml:space="preserve">https://creativecommons.org/licenses/by-sa/3.0	</v>
    </spb>
    <spb s="1">
      <v>20</v>
      <v>20</v>
      <v>20</v>
      <v>20</v>
      <v>20</v>
      <v>20</v>
      <v>20</v>
      <v>20</v>
      <v>20</v>
      <v>20</v>
    </spb>
    <spb s="7">
      <v>square km</v>
      <v>2017</v>
    </spb>
    <spb s="0">
      <v xml:space="preserve">Wikipedia	</v>
      <v xml:space="preserve">CC BY-SA 3.0	</v>
      <v xml:space="preserve">https://en.wikipedia.org/wiki/Glasgow	</v>
      <v xml:space="preserve">https://creativecommons.org/licenses/by-sa/3.0	</v>
    </spb>
    <spb s="9">
      <v>23</v>
      <v>23</v>
      <v>23</v>
      <v>23</v>
      <v>23</v>
      <v>23</v>
      <v>23</v>
      <v>23</v>
      <v>23</v>
    </spb>
    <spb s="2">
      <v>3</v>
      <v>Name</v>
      <v>LearnMoreOnLink</v>
    </spb>
    <spb s="7">
      <v>square km</v>
      <v>2020</v>
    </spb>
    <spb s="0">
      <v xml:space="preserve">Wikipedia	</v>
      <v xml:space="preserve">CC BY-SA 3.0	</v>
      <v xml:space="preserve">https://en.wikipedia.org/wiki/Carlisle	</v>
      <v xml:space="preserve">https://creativecommons.org/licenses/by-sa/3.0	</v>
    </spb>
    <spb s="1">
      <v>27</v>
      <v>27</v>
      <v>27</v>
      <v>27</v>
      <v>27</v>
      <v>27</v>
      <v>27</v>
      <v>27</v>
      <v>27</v>
      <v>27</v>
    </spb>
    <spb s="2">
      <v>4</v>
      <v>Name</v>
      <v>LearnMoreOnLink</v>
    </spb>
    <spb s="0">
      <v xml:space="preserve">Wikipedia	</v>
      <v xml:space="preserve">CC BY-SA 3.0	</v>
      <v xml:space="preserve">https://en.wikipedia.org/wiki/Cardiff	</v>
      <v xml:space="preserve">https://creativecommons.org/licenses/by-sa/3.0	</v>
    </spb>
    <spb s="10">
      <v>30</v>
      <v>30</v>
      <v>30</v>
      <v>30</v>
      <v>30</v>
      <v>30</v>
      <v>30</v>
      <v>30</v>
    </spb>
    <spb s="2">
      <v>5</v>
      <v>Name</v>
      <v>LearnMoreOnLink</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1 (State/province/other)" t="spb"/>
  </s>
  <s>
    <k n="Area" t="spb"/>
    <k n="Name" t="spb"/>
    <k n="Latitude" t="spb"/>
    <k n="Longitude" t="spb"/>
    <k n="Population" t="spb"/>
    <k n="UniqueName" t="spb"/>
    <k n="Descrip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 dT="2024-03-25T15:01:49.60" personId="{C8D4AA5D-048F-403C-B435-DA9855C72246}" id="{8C6A5C74-C86F-409A-AEFC-7E3FC8E3B114}">
    <text xml:space="preserve"> (miles)</text>
  </threadedComment>
  <threadedComment ref="F1" dT="2024-03-25T15:02:21.03" personId="{C8D4AA5D-048F-403C-B435-DA9855C72246}" id="{877DAF3C-5075-4BFB-B05D-11BF67E3B9CE}">
    <text>(KwH/unit)</text>
  </threadedComment>
  <threadedComment ref="G1" dT="2024-03-25T15:02:38.96" personId="{C8D4AA5D-048F-403C-B435-DA9855C72246}" id="{83A1CC49-465B-4053-8D0A-6683CA5A0358}">
    <text>(tonnes/unit)</text>
  </threadedComment>
  <threadedComment ref="H1" dT="2024-03-25T15:03:15.62" personId="{C8D4AA5D-048F-403C-B435-DA9855C72246}" id="{CA3A8624-DC8A-4EA4-88B3-310D98A827F8}">
    <text>(kg/unit)</text>
  </threadedComment>
  <threadedComment ref="I1" dT="2024-03-25T15:06:56.34" personId="{C8D4AA5D-048F-403C-B435-DA9855C72246}" id="{74188CBA-CB6D-45FE-BA0F-3F27DCD0BBA1}">
    <text>CO2e kg/unit</text>
  </threadedComment>
  <threadedComment ref="J1" dT="2024-03-25T15:06:40.86" personId="{C8D4AA5D-048F-403C-B435-DA9855C72246}" id="{9BBDDA75-C557-453A-9137-0429E7155CA7}">
    <text>unit</text>
  </threadedComment>
  <threadedComment ref="K1" dT="2024-03-25T15:06:32.98" personId="{C8D4AA5D-048F-403C-B435-DA9855C72246}" id="{42C4F108-77BD-491E-A44C-5B9C11E90037}">
    <text>£/unit.days</text>
  </threadedComment>
  <threadedComment ref="L1" dT="2024-03-25T15:06:24.32" personId="{C8D4AA5D-048F-403C-B435-DA9855C72246}" id="{DAE52D20-9EE0-4B79-9AF2-CCCB61EC8C10}">
    <text>£/unit.leadtime</text>
  </threadedComment>
</ThreadedComments>
</file>

<file path=xl/threadedComments/threadedComment2.xml><?xml version="1.0" encoding="utf-8"?>
<ThreadedComments xmlns="http://schemas.microsoft.com/office/spreadsheetml/2018/threadedcomments" xmlns:x="http://schemas.openxmlformats.org/spreadsheetml/2006/main">
  <threadedComment ref="E1" dT="2024-03-25T15:01:49.60" personId="{C8D4AA5D-048F-403C-B435-DA9855C72246}" id="{A2E1A5AA-C969-41BC-BE8F-7DACDB34ED25}">
    <text xml:space="preserve"> (miles)</text>
  </threadedComment>
  <threadedComment ref="F1" dT="2024-03-25T15:02:21.03" personId="{C8D4AA5D-048F-403C-B435-DA9855C72246}" id="{A347329E-BE4B-450E-8B2C-28274B3230E6}">
    <text>(KwH/unit)</text>
  </threadedComment>
  <threadedComment ref="G1" dT="2024-03-25T15:02:38.96" personId="{C8D4AA5D-048F-403C-B435-DA9855C72246}" id="{4CF2CB0D-91EC-48F4-BE72-BCECDD954303}">
    <text>(tonnes/unit)</text>
  </threadedComment>
  <threadedComment ref="H1" dT="2024-03-25T15:03:15.62" personId="{C8D4AA5D-048F-403C-B435-DA9855C72246}" id="{58FE8A43-0223-499C-9FCC-F748770EFAFF}">
    <text>(kg/unit)</text>
  </threadedComment>
  <threadedComment ref="I1" dT="2024-03-25T15:06:56.34" personId="{C8D4AA5D-048F-403C-B435-DA9855C72246}" id="{A23B088B-4E2C-4A66-8D79-4F06F4F799A8}">
    <text>CO2e kg/unit</text>
  </threadedComment>
  <threadedComment ref="J1" dT="2024-03-25T15:21:23.70" personId="{C8D4AA5D-048F-403C-B435-DA9855C72246}" id="{53AC7C54-B132-4649-9F9B-98D3E5602318}">
    <text>£/unit</text>
  </threadedComment>
  <threadedComment ref="K1" dT="2024-03-25T15:06:40.86" personId="{C8D4AA5D-048F-403C-B435-DA9855C72246}" id="{1508FCCA-DB96-4D4D-9328-6232B254A7AA}">
    <text>unit</text>
  </threadedComment>
  <threadedComment ref="L1" dT="2024-03-25T15:06:32.98" personId="{C8D4AA5D-048F-403C-B435-DA9855C72246}" id="{F4173A11-F5B1-4CB9-A41D-46FF63933F18}">
    <text>£/unit.days</text>
  </threadedComment>
  <threadedComment ref="M1" dT="2024-03-25T15:06:24.32" personId="{C8D4AA5D-048F-403C-B435-DA9855C72246}" id="{0FCBAD29-B53D-47D8-ACC4-0BD1F103F15C}">
    <text>£/unit.leadtime</text>
  </threadedComment>
</ThreadedComments>
</file>

<file path=xl/threadedComments/threadedComment3.xml><?xml version="1.0" encoding="utf-8"?>
<ThreadedComments xmlns="http://schemas.microsoft.com/office/spreadsheetml/2018/threadedcomments" xmlns:x="http://schemas.openxmlformats.org/spreadsheetml/2006/main">
  <threadedComment ref="E1" dT="2024-03-25T15:01:49.60" personId="{C8D4AA5D-048F-403C-B435-DA9855C72246}" id="{3E54BC3E-ED20-47D7-8100-56F4D923CDA4}">
    <text xml:space="preserve"> (miles)</text>
  </threadedComment>
  <threadedComment ref="F1" dT="2024-03-25T15:02:21.03" personId="{C8D4AA5D-048F-403C-B435-DA9855C72246}" id="{D8966ADC-D14B-4730-9AD4-DF95B51D84E1}">
    <text>(KwH/unit)</text>
  </threadedComment>
  <threadedComment ref="G1" dT="2024-03-25T15:02:38.96" personId="{C8D4AA5D-048F-403C-B435-DA9855C72246}" id="{4BA0B659-4DBC-45A1-9894-56C17138BAAB}">
    <text>(tonnes/unit)</text>
  </threadedComment>
  <threadedComment ref="H1" dT="2024-03-25T15:03:15.62" personId="{C8D4AA5D-048F-403C-B435-DA9855C72246}" id="{2F64B577-548F-4A0B-A0C7-8E23C702635D}">
    <text>(kg/unit)</text>
  </threadedComment>
  <threadedComment ref="I1" dT="2024-03-25T15:06:56.34" personId="{C8D4AA5D-048F-403C-B435-DA9855C72246}" id="{FAFD9A0F-66BC-4B47-8F74-589BCCDA0479}">
    <text>CO2e kg/unit</text>
  </threadedComment>
  <threadedComment ref="J1" dT="2024-03-25T15:21:23.70" personId="{C8D4AA5D-048F-403C-B435-DA9855C72246}" id="{BF4F8DD3-C99B-4666-AD09-FF4A1444A9D4}">
    <text>£/unit</text>
  </threadedComment>
  <threadedComment ref="K1" dT="2024-03-25T15:06:40.86" personId="{C8D4AA5D-048F-403C-B435-DA9855C72246}" id="{B7A8561A-54E9-479D-976D-8F6551C8F1CD}">
    <text>unit</text>
  </threadedComment>
  <threadedComment ref="L1" dT="2024-03-25T15:06:32.98" personId="{C8D4AA5D-048F-403C-B435-DA9855C72246}" id="{677BBFFC-16E7-4BE7-A434-845CC5A73A1B}">
    <text>£/unit.days</text>
  </threadedComment>
  <threadedComment ref="M1" dT="2024-03-25T15:06:24.32" personId="{C8D4AA5D-048F-403C-B435-DA9855C72246}" id="{6EBF0B39-5698-446B-AE3F-2154503F396A}">
    <text>£/unit.leadtime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workbookViewId="0">
      <selection activeCell="G6" sqref="G6"/>
    </sheetView>
  </sheetViews>
  <sheetFormatPr defaultRowHeight="15" x14ac:dyDescent="0.25"/>
  <sheetData>
    <row r="1" spans="1:6" x14ac:dyDescent="0.25">
      <c r="B1" s="1" t="s">
        <v>0</v>
      </c>
      <c r="C1" s="1" t="s">
        <v>1</v>
      </c>
      <c r="D1" s="1" t="s">
        <v>2</v>
      </c>
      <c r="E1" s="23" t="s">
        <v>40</v>
      </c>
      <c r="F1" s="23" t="s">
        <v>41</v>
      </c>
    </row>
    <row r="2" spans="1:6" x14ac:dyDescent="0.25">
      <c r="A2" s="1">
        <v>0</v>
      </c>
      <c r="B2">
        <v>149</v>
      </c>
      <c r="C2">
        <v>0</v>
      </c>
      <c r="D2">
        <v>165</v>
      </c>
      <c r="E2">
        <v>91</v>
      </c>
      <c r="F2">
        <v>0</v>
      </c>
    </row>
    <row r="3" spans="1:6" x14ac:dyDescent="0.25">
      <c r="A3" s="1">
        <v>1</v>
      </c>
      <c r="B3">
        <v>232</v>
      </c>
      <c r="C3">
        <v>0</v>
      </c>
      <c r="D3">
        <v>202</v>
      </c>
      <c r="E3">
        <v>103</v>
      </c>
      <c r="F3">
        <v>0</v>
      </c>
    </row>
    <row r="4" spans="1:6" x14ac:dyDescent="0.25">
      <c r="A4" s="1">
        <v>2</v>
      </c>
      <c r="B4">
        <v>139</v>
      </c>
      <c r="C4">
        <v>133</v>
      </c>
      <c r="D4">
        <v>191</v>
      </c>
      <c r="E4">
        <v>100</v>
      </c>
      <c r="F4">
        <v>0</v>
      </c>
    </row>
    <row r="5" spans="1:6" x14ac:dyDescent="0.25">
      <c r="A5" s="1">
        <v>3</v>
      </c>
      <c r="B5">
        <v>176</v>
      </c>
      <c r="C5">
        <v>37</v>
      </c>
      <c r="D5">
        <v>203</v>
      </c>
      <c r="E5">
        <v>99</v>
      </c>
      <c r="F5">
        <v>0</v>
      </c>
    </row>
    <row r="6" spans="1:6" x14ac:dyDescent="0.25">
      <c r="A6" s="1">
        <v>4</v>
      </c>
      <c r="B6">
        <v>15</v>
      </c>
      <c r="C6">
        <v>140</v>
      </c>
      <c r="D6">
        <v>173</v>
      </c>
      <c r="E6">
        <v>115</v>
      </c>
      <c r="F6">
        <v>0</v>
      </c>
    </row>
    <row r="7" spans="1:6" x14ac:dyDescent="0.25">
      <c r="A7" s="1">
        <v>5</v>
      </c>
      <c r="B7">
        <v>49</v>
      </c>
      <c r="C7">
        <v>129</v>
      </c>
      <c r="D7">
        <v>190</v>
      </c>
      <c r="E7">
        <v>118</v>
      </c>
      <c r="F7">
        <v>0</v>
      </c>
    </row>
    <row r="8" spans="1:6" x14ac:dyDescent="0.25">
      <c r="A8" s="1">
        <v>6</v>
      </c>
      <c r="B8">
        <v>170</v>
      </c>
      <c r="C8">
        <v>77</v>
      </c>
      <c r="D8">
        <v>188</v>
      </c>
      <c r="E8">
        <v>98</v>
      </c>
      <c r="F8">
        <v>0</v>
      </c>
    </row>
    <row r="9" spans="1:6" x14ac:dyDescent="0.25">
      <c r="A9" s="1">
        <v>7</v>
      </c>
      <c r="B9">
        <v>158</v>
      </c>
      <c r="C9">
        <v>127</v>
      </c>
      <c r="D9">
        <v>193</v>
      </c>
      <c r="E9">
        <v>97</v>
      </c>
      <c r="F9">
        <v>0</v>
      </c>
    </row>
    <row r="10" spans="1:6" x14ac:dyDescent="0.25">
      <c r="A10" s="1">
        <v>8</v>
      </c>
      <c r="B10">
        <v>205</v>
      </c>
      <c r="C10">
        <v>120</v>
      </c>
      <c r="D10">
        <v>212</v>
      </c>
      <c r="E10">
        <v>101</v>
      </c>
      <c r="F10">
        <v>137</v>
      </c>
    </row>
    <row r="11" spans="1:6" x14ac:dyDescent="0.25">
      <c r="A11" s="1">
        <v>9</v>
      </c>
      <c r="B11">
        <v>81</v>
      </c>
      <c r="C11">
        <v>140</v>
      </c>
      <c r="D11">
        <v>209</v>
      </c>
      <c r="E11">
        <v>82</v>
      </c>
      <c r="F11">
        <v>169</v>
      </c>
    </row>
    <row r="12" spans="1:6" x14ac:dyDescent="0.25">
      <c r="A12" s="1">
        <v>10</v>
      </c>
      <c r="B12">
        <v>133</v>
      </c>
      <c r="C12">
        <v>129</v>
      </c>
      <c r="D12">
        <v>179</v>
      </c>
      <c r="E12">
        <v>88</v>
      </c>
      <c r="F12">
        <v>139</v>
      </c>
    </row>
    <row r="13" spans="1:6" x14ac:dyDescent="0.25">
      <c r="A13" s="1">
        <v>11</v>
      </c>
      <c r="B13">
        <v>0</v>
      </c>
      <c r="C13">
        <v>156</v>
      </c>
      <c r="D13">
        <v>207</v>
      </c>
      <c r="E13">
        <v>106</v>
      </c>
      <c r="F13">
        <v>145</v>
      </c>
    </row>
    <row r="14" spans="1:6" x14ac:dyDescent="0.25">
      <c r="A14" s="1">
        <v>12</v>
      </c>
      <c r="B14">
        <v>100</v>
      </c>
      <c r="C14">
        <v>204</v>
      </c>
      <c r="D14">
        <v>222</v>
      </c>
      <c r="E14">
        <v>109</v>
      </c>
      <c r="F14">
        <v>149</v>
      </c>
    </row>
    <row r="15" spans="1:6" x14ac:dyDescent="0.25">
      <c r="A15" s="1">
        <v>13</v>
      </c>
      <c r="B15">
        <v>124</v>
      </c>
      <c r="C15">
        <v>64</v>
      </c>
      <c r="D15">
        <v>198</v>
      </c>
      <c r="E15">
        <v>99</v>
      </c>
      <c r="F15">
        <v>142</v>
      </c>
    </row>
    <row r="16" spans="1:6" x14ac:dyDescent="0.25">
      <c r="A16" s="1">
        <v>14</v>
      </c>
      <c r="B16">
        <v>144</v>
      </c>
      <c r="C16">
        <v>202</v>
      </c>
      <c r="D16">
        <v>166</v>
      </c>
      <c r="E16">
        <v>107</v>
      </c>
      <c r="F16">
        <v>142</v>
      </c>
    </row>
    <row r="17" spans="1:6" x14ac:dyDescent="0.25">
      <c r="A17" s="1">
        <v>15</v>
      </c>
      <c r="B17">
        <v>117</v>
      </c>
      <c r="C17">
        <v>158</v>
      </c>
      <c r="D17">
        <v>182</v>
      </c>
      <c r="E17">
        <v>81</v>
      </c>
      <c r="F17">
        <v>162</v>
      </c>
    </row>
    <row r="18" spans="1:6" x14ac:dyDescent="0.25">
      <c r="A18" s="1">
        <v>16</v>
      </c>
      <c r="B18">
        <v>207</v>
      </c>
      <c r="C18">
        <v>286</v>
      </c>
      <c r="D18">
        <v>193</v>
      </c>
      <c r="E18">
        <v>93</v>
      </c>
      <c r="F18">
        <v>127</v>
      </c>
    </row>
    <row r="19" spans="1:6" x14ac:dyDescent="0.25">
      <c r="A19" s="1">
        <v>17</v>
      </c>
      <c r="B19">
        <v>63</v>
      </c>
      <c r="C19">
        <v>154</v>
      </c>
      <c r="D19">
        <v>209</v>
      </c>
      <c r="E19">
        <v>94</v>
      </c>
      <c r="F19">
        <v>140</v>
      </c>
    </row>
    <row r="20" spans="1:6" x14ac:dyDescent="0.25">
      <c r="A20" s="1">
        <v>18</v>
      </c>
      <c r="B20">
        <v>73</v>
      </c>
      <c r="C20">
        <v>126</v>
      </c>
      <c r="D20">
        <v>220</v>
      </c>
      <c r="E20">
        <v>99</v>
      </c>
      <c r="F20">
        <v>130</v>
      </c>
    </row>
    <row r="21" spans="1:6" x14ac:dyDescent="0.25">
      <c r="A21" s="1">
        <v>19</v>
      </c>
      <c r="B21">
        <v>178</v>
      </c>
      <c r="C21">
        <v>26</v>
      </c>
      <c r="D21">
        <v>230</v>
      </c>
      <c r="E21">
        <v>83</v>
      </c>
      <c r="F21">
        <v>137</v>
      </c>
    </row>
    <row r="22" spans="1:6" x14ac:dyDescent="0.25">
      <c r="A22" s="1">
        <v>20</v>
      </c>
      <c r="B22">
        <v>127</v>
      </c>
      <c r="C22">
        <v>121</v>
      </c>
      <c r="D22">
        <v>164</v>
      </c>
      <c r="E22">
        <v>105</v>
      </c>
      <c r="F22">
        <v>346</v>
      </c>
    </row>
    <row r="23" spans="1:6" x14ac:dyDescent="0.25">
      <c r="A23" s="1">
        <v>21</v>
      </c>
      <c r="B23">
        <v>230</v>
      </c>
      <c r="C23">
        <v>56</v>
      </c>
      <c r="D23">
        <v>192</v>
      </c>
      <c r="E23">
        <v>116</v>
      </c>
      <c r="F23">
        <v>318</v>
      </c>
    </row>
    <row r="24" spans="1:6" x14ac:dyDescent="0.25">
      <c r="A24" s="1">
        <v>22</v>
      </c>
      <c r="B24">
        <v>191</v>
      </c>
      <c r="C24">
        <v>118</v>
      </c>
      <c r="D24">
        <v>210</v>
      </c>
      <c r="E24">
        <v>109</v>
      </c>
      <c r="F24">
        <v>338</v>
      </c>
    </row>
    <row r="25" spans="1:6" x14ac:dyDescent="0.25">
      <c r="A25" s="1">
        <v>23</v>
      </c>
      <c r="B25">
        <v>170</v>
      </c>
      <c r="C25">
        <v>106</v>
      </c>
      <c r="D25">
        <v>220</v>
      </c>
      <c r="E25">
        <v>106</v>
      </c>
      <c r="F25">
        <v>318</v>
      </c>
    </row>
    <row r="26" spans="1:6" x14ac:dyDescent="0.25">
      <c r="A26" s="1">
        <v>24</v>
      </c>
      <c r="B26">
        <v>47</v>
      </c>
      <c r="C26">
        <v>56</v>
      </c>
      <c r="D26">
        <v>203</v>
      </c>
      <c r="E26">
        <v>94</v>
      </c>
      <c r="F26">
        <v>294</v>
      </c>
    </row>
    <row r="27" spans="1:6" x14ac:dyDescent="0.25">
      <c r="A27" s="1">
        <v>25</v>
      </c>
      <c r="B27">
        <v>113</v>
      </c>
      <c r="C27">
        <v>47</v>
      </c>
      <c r="D27">
        <v>227</v>
      </c>
      <c r="E27">
        <v>109</v>
      </c>
      <c r="F27">
        <v>282</v>
      </c>
    </row>
    <row r="28" spans="1:6" x14ac:dyDescent="0.25">
      <c r="A28" s="1">
        <v>26</v>
      </c>
      <c r="B28">
        <v>166</v>
      </c>
      <c r="C28">
        <v>0</v>
      </c>
      <c r="D28">
        <v>191</v>
      </c>
      <c r="E28">
        <v>102</v>
      </c>
      <c r="F28">
        <v>268</v>
      </c>
    </row>
    <row r="29" spans="1:6" x14ac:dyDescent="0.25">
      <c r="A29" s="1">
        <v>27</v>
      </c>
      <c r="B29">
        <v>111</v>
      </c>
      <c r="C29">
        <v>0</v>
      </c>
      <c r="D29">
        <v>170</v>
      </c>
      <c r="E29">
        <v>117</v>
      </c>
      <c r="F29">
        <v>296</v>
      </c>
    </row>
    <row r="30" spans="1:6" x14ac:dyDescent="0.25">
      <c r="A30" s="1">
        <v>28</v>
      </c>
      <c r="B30">
        <v>167</v>
      </c>
      <c r="C30">
        <v>0</v>
      </c>
      <c r="D30">
        <v>182</v>
      </c>
      <c r="E30">
        <v>88</v>
      </c>
      <c r="F30">
        <v>338</v>
      </c>
    </row>
    <row r="31" spans="1:6" x14ac:dyDescent="0.25">
      <c r="A31" s="1">
        <v>29</v>
      </c>
      <c r="B31">
        <v>168</v>
      </c>
      <c r="C31">
        <v>0</v>
      </c>
      <c r="D31">
        <v>199</v>
      </c>
      <c r="E31">
        <v>96</v>
      </c>
      <c r="F31">
        <v>284</v>
      </c>
    </row>
    <row r="32" spans="1:6" x14ac:dyDescent="0.25">
      <c r="A32" s="1">
        <v>30</v>
      </c>
      <c r="B32">
        <v>100</v>
      </c>
      <c r="C32">
        <v>0</v>
      </c>
      <c r="D32">
        <v>209</v>
      </c>
      <c r="E32">
        <v>97</v>
      </c>
      <c r="F32">
        <v>157</v>
      </c>
    </row>
    <row r="33" spans="1:6" x14ac:dyDescent="0.25">
      <c r="A33" s="1">
        <v>31</v>
      </c>
      <c r="B33">
        <v>83</v>
      </c>
      <c r="C33">
        <v>89</v>
      </c>
      <c r="D33">
        <v>189</v>
      </c>
      <c r="E33">
        <v>98</v>
      </c>
      <c r="F33">
        <v>156</v>
      </c>
    </row>
    <row r="34" spans="1:6" x14ac:dyDescent="0.25">
      <c r="A34" s="1">
        <v>32</v>
      </c>
      <c r="B34">
        <v>208</v>
      </c>
      <c r="C34">
        <v>33</v>
      </c>
      <c r="D34">
        <v>198</v>
      </c>
      <c r="E34">
        <v>99</v>
      </c>
      <c r="F34">
        <v>153</v>
      </c>
    </row>
    <row r="35" spans="1:6" x14ac:dyDescent="0.25">
      <c r="A35" s="1">
        <v>33</v>
      </c>
      <c r="B35">
        <v>153</v>
      </c>
      <c r="C35">
        <v>103</v>
      </c>
      <c r="D35">
        <v>191</v>
      </c>
      <c r="E35">
        <v>97</v>
      </c>
      <c r="F35">
        <v>145</v>
      </c>
    </row>
    <row r="36" spans="1:6" x14ac:dyDescent="0.25">
      <c r="A36" s="1">
        <v>34</v>
      </c>
      <c r="B36">
        <v>153</v>
      </c>
      <c r="C36">
        <v>108</v>
      </c>
      <c r="D36">
        <v>195</v>
      </c>
      <c r="E36">
        <v>90</v>
      </c>
      <c r="F36">
        <v>133</v>
      </c>
    </row>
    <row r="37" spans="1:6" x14ac:dyDescent="0.25">
      <c r="A37" s="1">
        <v>35</v>
      </c>
      <c r="B37">
        <v>208</v>
      </c>
      <c r="C37">
        <v>88</v>
      </c>
      <c r="D37">
        <v>172</v>
      </c>
      <c r="E37">
        <v>88</v>
      </c>
      <c r="F37">
        <v>160</v>
      </c>
    </row>
    <row r="38" spans="1:6" x14ac:dyDescent="0.25">
      <c r="A38" s="1">
        <v>36</v>
      </c>
      <c r="B38">
        <v>254</v>
      </c>
      <c r="C38">
        <v>104</v>
      </c>
      <c r="D38">
        <v>221</v>
      </c>
      <c r="E38">
        <v>92</v>
      </c>
      <c r="F38">
        <v>147</v>
      </c>
    </row>
    <row r="39" spans="1:6" x14ac:dyDescent="0.25">
      <c r="A39" s="1">
        <v>37</v>
      </c>
      <c r="B39">
        <v>0</v>
      </c>
      <c r="C39">
        <v>86</v>
      </c>
      <c r="D39">
        <v>204</v>
      </c>
      <c r="E39">
        <v>98</v>
      </c>
      <c r="F39">
        <v>187</v>
      </c>
    </row>
    <row r="40" spans="1:6" x14ac:dyDescent="0.25">
      <c r="A40" s="1">
        <v>38</v>
      </c>
      <c r="B40">
        <v>237</v>
      </c>
      <c r="C40">
        <v>154</v>
      </c>
      <c r="D40">
        <v>225</v>
      </c>
      <c r="E40">
        <v>102</v>
      </c>
      <c r="F40">
        <v>141</v>
      </c>
    </row>
    <row r="41" spans="1:6" x14ac:dyDescent="0.25">
      <c r="A41" s="1">
        <v>39</v>
      </c>
      <c r="B41">
        <v>210</v>
      </c>
      <c r="C41">
        <v>97</v>
      </c>
      <c r="D41">
        <v>215</v>
      </c>
      <c r="E41">
        <v>103</v>
      </c>
      <c r="F41">
        <v>161</v>
      </c>
    </row>
    <row r="42" spans="1:6" x14ac:dyDescent="0.25">
      <c r="A42" s="1">
        <v>40</v>
      </c>
      <c r="B42">
        <v>132</v>
      </c>
      <c r="C42">
        <v>111</v>
      </c>
      <c r="D42">
        <v>199</v>
      </c>
      <c r="E42">
        <v>92</v>
      </c>
      <c r="F42">
        <v>128</v>
      </c>
    </row>
    <row r="43" spans="1:6" x14ac:dyDescent="0.25">
      <c r="A43" s="1">
        <v>41</v>
      </c>
      <c r="B43">
        <v>221</v>
      </c>
      <c r="C43">
        <v>276</v>
      </c>
      <c r="D43">
        <v>201</v>
      </c>
      <c r="E43">
        <v>101</v>
      </c>
      <c r="F43">
        <v>139</v>
      </c>
    </row>
    <row r="44" spans="1:6" x14ac:dyDescent="0.25">
      <c r="A44" s="1">
        <v>42</v>
      </c>
      <c r="B44">
        <v>145</v>
      </c>
      <c r="C44">
        <v>216</v>
      </c>
      <c r="D44">
        <v>225</v>
      </c>
      <c r="E44">
        <v>108</v>
      </c>
      <c r="F44">
        <v>0</v>
      </c>
    </row>
    <row r="45" spans="1:6" x14ac:dyDescent="0.25">
      <c r="A45" s="1">
        <v>43</v>
      </c>
      <c r="B45">
        <v>246</v>
      </c>
      <c r="C45">
        <v>232</v>
      </c>
      <c r="D45">
        <v>208</v>
      </c>
      <c r="E45">
        <v>101</v>
      </c>
      <c r="F45">
        <v>0</v>
      </c>
    </row>
    <row r="46" spans="1:6" x14ac:dyDescent="0.25">
      <c r="A46" s="1">
        <v>44</v>
      </c>
      <c r="B46">
        <v>218</v>
      </c>
      <c r="C46">
        <v>54</v>
      </c>
      <c r="D46">
        <v>208</v>
      </c>
      <c r="E46">
        <v>104</v>
      </c>
      <c r="F46">
        <v>0</v>
      </c>
    </row>
    <row r="47" spans="1:6" x14ac:dyDescent="0.25">
      <c r="A47" s="1">
        <v>45</v>
      </c>
      <c r="B47">
        <v>175</v>
      </c>
      <c r="C47">
        <v>180</v>
      </c>
      <c r="D47">
        <v>178</v>
      </c>
      <c r="E47">
        <v>106</v>
      </c>
      <c r="F47">
        <v>0</v>
      </c>
    </row>
    <row r="48" spans="1:6" x14ac:dyDescent="0.25">
      <c r="A48" s="1">
        <v>46</v>
      </c>
      <c r="B48">
        <v>113</v>
      </c>
      <c r="C48">
        <v>177</v>
      </c>
      <c r="D48">
        <v>197</v>
      </c>
      <c r="E48">
        <v>80</v>
      </c>
      <c r="F48">
        <v>0</v>
      </c>
    </row>
    <row r="49" spans="1:6" x14ac:dyDescent="0.25">
      <c r="A49" s="1">
        <v>47</v>
      </c>
      <c r="B49">
        <v>155</v>
      </c>
      <c r="C49">
        <v>116</v>
      </c>
      <c r="D49">
        <v>186</v>
      </c>
      <c r="E49">
        <v>102</v>
      </c>
      <c r="F49">
        <v>0</v>
      </c>
    </row>
    <row r="50" spans="1:6" x14ac:dyDescent="0.25">
      <c r="A50" s="1">
        <v>48</v>
      </c>
      <c r="B50">
        <v>97</v>
      </c>
      <c r="C50">
        <v>141</v>
      </c>
      <c r="D50">
        <v>195</v>
      </c>
      <c r="E50">
        <v>95</v>
      </c>
      <c r="F50">
        <v>0</v>
      </c>
    </row>
    <row r="51" spans="1:6" x14ac:dyDescent="0.25">
      <c r="A51" s="1">
        <v>49</v>
      </c>
      <c r="B51">
        <v>108</v>
      </c>
      <c r="C51">
        <v>116</v>
      </c>
      <c r="D51">
        <v>188</v>
      </c>
      <c r="E51">
        <v>97</v>
      </c>
      <c r="F51">
        <v>0</v>
      </c>
    </row>
    <row r="52" spans="1:6" x14ac:dyDescent="0.25">
      <c r="A52" s="1">
        <v>50</v>
      </c>
      <c r="B52">
        <v>161</v>
      </c>
      <c r="C52">
        <v>175</v>
      </c>
      <c r="D52">
        <v>199</v>
      </c>
      <c r="E52">
        <v>90</v>
      </c>
      <c r="F52">
        <v>0</v>
      </c>
    </row>
    <row r="53" spans="1:6" x14ac:dyDescent="0.25">
      <c r="A53" s="1">
        <v>51</v>
      </c>
      <c r="B53">
        <v>142</v>
      </c>
      <c r="C53">
        <v>70</v>
      </c>
      <c r="D53">
        <v>178</v>
      </c>
      <c r="E53">
        <v>124</v>
      </c>
      <c r="F53">
        <v>0</v>
      </c>
    </row>
    <row r="54" spans="1:6" x14ac:dyDescent="0.25">
      <c r="A54" s="1">
        <v>52</v>
      </c>
      <c r="B54">
        <v>110</v>
      </c>
      <c r="C54">
        <v>68</v>
      </c>
      <c r="D54">
        <v>194</v>
      </c>
      <c r="E54">
        <v>103</v>
      </c>
      <c r="F54">
        <v>0</v>
      </c>
    </row>
    <row r="55" spans="1:6" x14ac:dyDescent="0.25">
      <c r="A55" s="1">
        <v>53</v>
      </c>
      <c r="B55">
        <v>249</v>
      </c>
      <c r="C55">
        <v>126</v>
      </c>
      <c r="D55">
        <v>195</v>
      </c>
      <c r="E55">
        <v>100</v>
      </c>
      <c r="F55">
        <v>146</v>
      </c>
    </row>
    <row r="56" spans="1:6" x14ac:dyDescent="0.25">
      <c r="A56" s="1">
        <v>54</v>
      </c>
      <c r="B56">
        <v>117</v>
      </c>
      <c r="C56">
        <v>131</v>
      </c>
      <c r="D56">
        <v>178</v>
      </c>
      <c r="E56">
        <v>109</v>
      </c>
      <c r="F56">
        <v>145</v>
      </c>
    </row>
    <row r="57" spans="1:6" x14ac:dyDescent="0.25">
      <c r="A57" s="1">
        <v>55</v>
      </c>
      <c r="B57">
        <v>148</v>
      </c>
      <c r="C57">
        <v>113</v>
      </c>
      <c r="D57">
        <v>194</v>
      </c>
      <c r="E57">
        <v>86</v>
      </c>
      <c r="F57">
        <v>136</v>
      </c>
    </row>
    <row r="58" spans="1:6" x14ac:dyDescent="0.25">
      <c r="A58" s="1">
        <v>56</v>
      </c>
      <c r="B58">
        <v>150</v>
      </c>
      <c r="C58">
        <v>0</v>
      </c>
      <c r="D58">
        <v>213</v>
      </c>
      <c r="E58">
        <v>119</v>
      </c>
      <c r="F58">
        <v>154</v>
      </c>
    </row>
    <row r="59" spans="1:6" x14ac:dyDescent="0.25">
      <c r="A59" s="1">
        <v>57</v>
      </c>
      <c r="B59">
        <v>19</v>
      </c>
      <c r="C59">
        <v>0</v>
      </c>
      <c r="D59">
        <v>218</v>
      </c>
      <c r="E59">
        <v>113</v>
      </c>
      <c r="F59">
        <v>155</v>
      </c>
    </row>
    <row r="60" spans="1:6" x14ac:dyDescent="0.25">
      <c r="A60" s="1">
        <v>58</v>
      </c>
      <c r="B60">
        <v>307</v>
      </c>
      <c r="C60">
        <v>0</v>
      </c>
      <c r="D60">
        <v>198</v>
      </c>
      <c r="E60">
        <v>98</v>
      </c>
      <c r="F60">
        <v>155</v>
      </c>
    </row>
    <row r="61" spans="1:6" x14ac:dyDescent="0.25">
      <c r="A61" s="1">
        <v>59</v>
      </c>
      <c r="B61">
        <v>115</v>
      </c>
      <c r="C61">
        <v>0</v>
      </c>
      <c r="D61">
        <v>192</v>
      </c>
      <c r="E61">
        <v>95</v>
      </c>
      <c r="F61">
        <v>153</v>
      </c>
    </row>
    <row r="62" spans="1:6" x14ac:dyDescent="0.25">
      <c r="A62" s="1">
        <v>60</v>
      </c>
      <c r="B62">
        <v>194</v>
      </c>
      <c r="C62">
        <v>0</v>
      </c>
      <c r="D62">
        <v>197</v>
      </c>
      <c r="E62">
        <v>98</v>
      </c>
      <c r="F62">
        <v>155</v>
      </c>
    </row>
    <row r="63" spans="1:6" x14ac:dyDescent="0.25">
      <c r="A63" s="1">
        <v>61</v>
      </c>
      <c r="B63">
        <v>21</v>
      </c>
      <c r="C63">
        <v>81</v>
      </c>
      <c r="D63">
        <v>197</v>
      </c>
      <c r="E63">
        <v>105</v>
      </c>
      <c r="F63">
        <v>176</v>
      </c>
    </row>
    <row r="64" spans="1:6" x14ac:dyDescent="0.25">
      <c r="A64" s="1">
        <v>62</v>
      </c>
      <c r="B64">
        <v>140</v>
      </c>
      <c r="C64">
        <v>182</v>
      </c>
      <c r="D64">
        <v>219</v>
      </c>
      <c r="E64">
        <v>106</v>
      </c>
      <c r="F64">
        <v>146</v>
      </c>
    </row>
    <row r="65" spans="1:6" x14ac:dyDescent="0.25">
      <c r="A65" s="1">
        <v>63</v>
      </c>
      <c r="B65">
        <v>52</v>
      </c>
      <c r="C65">
        <v>82</v>
      </c>
      <c r="D65">
        <v>175</v>
      </c>
      <c r="E65">
        <v>98</v>
      </c>
      <c r="F65">
        <v>171</v>
      </c>
    </row>
    <row r="66" spans="1:6" x14ac:dyDescent="0.25">
      <c r="A66" s="1">
        <v>64</v>
      </c>
      <c r="B66">
        <v>120</v>
      </c>
      <c r="C66">
        <v>107</v>
      </c>
      <c r="D66">
        <v>206</v>
      </c>
      <c r="E66">
        <v>102</v>
      </c>
      <c r="F66">
        <v>318</v>
      </c>
    </row>
    <row r="67" spans="1:6" x14ac:dyDescent="0.25">
      <c r="A67" s="1">
        <v>65</v>
      </c>
      <c r="B67">
        <v>226</v>
      </c>
      <c r="C67">
        <v>56</v>
      </c>
      <c r="D67">
        <v>200</v>
      </c>
      <c r="E67">
        <v>90</v>
      </c>
      <c r="F67">
        <v>322</v>
      </c>
    </row>
    <row r="68" spans="1:6" x14ac:dyDescent="0.25">
      <c r="A68" s="1">
        <v>66</v>
      </c>
      <c r="B68">
        <v>197</v>
      </c>
      <c r="C68">
        <v>68</v>
      </c>
      <c r="D68">
        <v>195</v>
      </c>
      <c r="E68">
        <v>85</v>
      </c>
      <c r="F68">
        <v>306</v>
      </c>
    </row>
    <row r="69" spans="1:6" x14ac:dyDescent="0.25">
      <c r="A69" s="1">
        <v>67</v>
      </c>
      <c r="B69">
        <v>187</v>
      </c>
      <c r="C69">
        <v>98</v>
      </c>
      <c r="D69">
        <v>193</v>
      </c>
      <c r="E69">
        <v>95</v>
      </c>
      <c r="F69">
        <v>280</v>
      </c>
    </row>
    <row r="70" spans="1:6" x14ac:dyDescent="0.25">
      <c r="A70" s="1">
        <v>68</v>
      </c>
      <c r="B70">
        <v>180</v>
      </c>
      <c r="C70">
        <v>67</v>
      </c>
      <c r="D70">
        <v>236</v>
      </c>
      <c r="E70">
        <v>121</v>
      </c>
      <c r="F70">
        <v>310</v>
      </c>
    </row>
    <row r="71" spans="1:6" x14ac:dyDescent="0.25">
      <c r="A71" s="1">
        <v>69</v>
      </c>
      <c r="B71">
        <v>45</v>
      </c>
      <c r="C71">
        <v>105</v>
      </c>
      <c r="D71">
        <v>226</v>
      </c>
      <c r="E71">
        <v>88</v>
      </c>
      <c r="F71">
        <v>290</v>
      </c>
    </row>
    <row r="72" spans="1:6" x14ac:dyDescent="0.25">
      <c r="A72" s="1">
        <v>70</v>
      </c>
      <c r="B72">
        <v>82</v>
      </c>
      <c r="C72">
        <v>132</v>
      </c>
      <c r="D72">
        <v>191</v>
      </c>
      <c r="E72">
        <v>120</v>
      </c>
      <c r="F72">
        <v>314</v>
      </c>
    </row>
    <row r="73" spans="1:6" x14ac:dyDescent="0.25">
      <c r="A73" s="1">
        <v>71</v>
      </c>
      <c r="B73">
        <v>183</v>
      </c>
      <c r="C73">
        <v>210</v>
      </c>
      <c r="D73">
        <v>182</v>
      </c>
      <c r="E73">
        <v>104</v>
      </c>
      <c r="F73">
        <v>286</v>
      </c>
    </row>
    <row r="74" spans="1:6" x14ac:dyDescent="0.25">
      <c r="A74" s="1">
        <v>72</v>
      </c>
      <c r="B74">
        <v>232</v>
      </c>
      <c r="C74">
        <v>202</v>
      </c>
      <c r="D74">
        <v>199</v>
      </c>
      <c r="E74">
        <v>112</v>
      </c>
      <c r="F74">
        <v>316</v>
      </c>
    </row>
    <row r="75" spans="1:6" x14ac:dyDescent="0.25">
      <c r="A75" s="1">
        <v>73</v>
      </c>
      <c r="B75">
        <v>177</v>
      </c>
      <c r="C75">
        <v>298</v>
      </c>
      <c r="D75">
        <v>207</v>
      </c>
      <c r="E75">
        <v>92</v>
      </c>
      <c r="F75">
        <v>358</v>
      </c>
    </row>
    <row r="76" spans="1:6" x14ac:dyDescent="0.25">
      <c r="A76" s="1">
        <v>74</v>
      </c>
      <c r="B76">
        <v>184</v>
      </c>
      <c r="C76">
        <v>160</v>
      </c>
      <c r="D76">
        <v>191</v>
      </c>
      <c r="E76">
        <v>106</v>
      </c>
      <c r="F76">
        <v>306</v>
      </c>
    </row>
    <row r="77" spans="1:6" x14ac:dyDescent="0.25">
      <c r="A77" s="1">
        <v>75</v>
      </c>
      <c r="B77">
        <v>183</v>
      </c>
      <c r="C77">
        <v>112</v>
      </c>
      <c r="D77">
        <v>183</v>
      </c>
      <c r="E77">
        <v>87</v>
      </c>
      <c r="F77">
        <v>146</v>
      </c>
    </row>
    <row r="78" spans="1:6" x14ac:dyDescent="0.25">
      <c r="A78" s="1">
        <v>76</v>
      </c>
      <c r="B78">
        <v>192</v>
      </c>
      <c r="C78">
        <v>68</v>
      </c>
      <c r="D78">
        <v>208</v>
      </c>
      <c r="E78">
        <v>99</v>
      </c>
      <c r="F78">
        <v>157</v>
      </c>
    </row>
    <row r="79" spans="1:6" x14ac:dyDescent="0.25">
      <c r="A79" s="1">
        <v>77</v>
      </c>
      <c r="B79">
        <v>179</v>
      </c>
      <c r="C79">
        <v>13</v>
      </c>
      <c r="D79">
        <v>176</v>
      </c>
      <c r="E79">
        <v>94</v>
      </c>
      <c r="F79">
        <v>124</v>
      </c>
    </row>
    <row r="80" spans="1:6" x14ac:dyDescent="0.25">
      <c r="A80" s="1">
        <v>78</v>
      </c>
      <c r="B80">
        <v>84</v>
      </c>
      <c r="C80">
        <v>12</v>
      </c>
      <c r="D80">
        <v>218</v>
      </c>
      <c r="E80">
        <v>103</v>
      </c>
      <c r="F80">
        <v>153</v>
      </c>
    </row>
    <row r="81" spans="1:6" x14ac:dyDescent="0.25">
      <c r="A81" s="1">
        <v>79</v>
      </c>
      <c r="B81">
        <v>208</v>
      </c>
      <c r="C81">
        <v>140</v>
      </c>
      <c r="D81">
        <v>193</v>
      </c>
      <c r="E81">
        <v>97</v>
      </c>
      <c r="F81">
        <v>133</v>
      </c>
    </row>
    <row r="82" spans="1:6" x14ac:dyDescent="0.25">
      <c r="A82" s="1">
        <v>80</v>
      </c>
      <c r="B82">
        <v>96</v>
      </c>
      <c r="C82">
        <v>185</v>
      </c>
      <c r="D82">
        <v>172</v>
      </c>
      <c r="E82">
        <v>87</v>
      </c>
      <c r="F82">
        <v>147</v>
      </c>
    </row>
    <row r="83" spans="1:6" x14ac:dyDescent="0.25">
      <c r="A83" s="1">
        <v>81</v>
      </c>
      <c r="B83">
        <v>62</v>
      </c>
      <c r="C83">
        <v>85</v>
      </c>
      <c r="D83">
        <v>197</v>
      </c>
      <c r="E83">
        <v>115</v>
      </c>
      <c r="F83">
        <v>129</v>
      </c>
    </row>
    <row r="84" spans="1:6" x14ac:dyDescent="0.25">
      <c r="A84" s="1">
        <v>82</v>
      </c>
      <c r="B84">
        <v>158</v>
      </c>
      <c r="C84">
        <v>104</v>
      </c>
      <c r="D84">
        <v>227</v>
      </c>
      <c r="E84">
        <v>92</v>
      </c>
      <c r="F84">
        <v>164</v>
      </c>
    </row>
    <row r="85" spans="1:6" x14ac:dyDescent="0.25">
      <c r="A85" s="1">
        <v>83</v>
      </c>
      <c r="B85">
        <v>70</v>
      </c>
      <c r="C85">
        <v>82</v>
      </c>
      <c r="D85">
        <v>217</v>
      </c>
      <c r="E85">
        <v>91</v>
      </c>
      <c r="F85">
        <v>142</v>
      </c>
    </row>
    <row r="86" spans="1:6" x14ac:dyDescent="0.25">
      <c r="A86" s="1">
        <v>84</v>
      </c>
      <c r="B86">
        <v>85</v>
      </c>
      <c r="C86">
        <v>138</v>
      </c>
      <c r="D86">
        <v>197</v>
      </c>
      <c r="E86">
        <v>79</v>
      </c>
      <c r="F86">
        <v>145</v>
      </c>
    </row>
    <row r="87" spans="1:6" x14ac:dyDescent="0.25">
      <c r="A87" s="1">
        <v>85</v>
      </c>
      <c r="B87">
        <v>156</v>
      </c>
      <c r="C87">
        <v>0</v>
      </c>
      <c r="D87">
        <v>200</v>
      </c>
      <c r="E87">
        <v>94</v>
      </c>
      <c r="F87">
        <v>153</v>
      </c>
    </row>
    <row r="88" spans="1:6" x14ac:dyDescent="0.25">
      <c r="A88" s="1">
        <v>86</v>
      </c>
      <c r="B88">
        <v>101</v>
      </c>
      <c r="C88">
        <v>0</v>
      </c>
      <c r="D88">
        <v>175</v>
      </c>
      <c r="E88">
        <v>83</v>
      </c>
      <c r="F88">
        <v>0</v>
      </c>
    </row>
    <row r="89" spans="1:6" x14ac:dyDescent="0.25">
      <c r="A89" s="1">
        <v>87</v>
      </c>
      <c r="B89">
        <v>97</v>
      </c>
      <c r="C89">
        <v>0</v>
      </c>
      <c r="D89">
        <v>201</v>
      </c>
      <c r="E89">
        <v>99</v>
      </c>
      <c r="F89">
        <v>0</v>
      </c>
    </row>
    <row r="90" spans="1:6" x14ac:dyDescent="0.25">
      <c r="A90" s="1">
        <v>88</v>
      </c>
      <c r="B90">
        <v>177</v>
      </c>
      <c r="C90">
        <v>0</v>
      </c>
      <c r="D90">
        <v>212</v>
      </c>
      <c r="E90">
        <v>99</v>
      </c>
      <c r="F90">
        <v>0</v>
      </c>
    </row>
    <row r="91" spans="1:6" x14ac:dyDescent="0.25">
      <c r="A91" s="1">
        <v>89</v>
      </c>
      <c r="B91">
        <v>217</v>
      </c>
      <c r="C91">
        <v>0</v>
      </c>
      <c r="D91">
        <v>188</v>
      </c>
      <c r="E91">
        <v>97</v>
      </c>
      <c r="F91">
        <v>0</v>
      </c>
    </row>
    <row r="92" spans="1:6" x14ac:dyDescent="0.25">
      <c r="A92" s="1">
        <v>90</v>
      </c>
      <c r="B92">
        <v>194</v>
      </c>
      <c r="C92">
        <v>0</v>
      </c>
      <c r="D92">
        <v>202</v>
      </c>
      <c r="E92">
        <v>84</v>
      </c>
      <c r="F92">
        <v>0</v>
      </c>
    </row>
    <row r="93" spans="1:6" x14ac:dyDescent="0.25">
      <c r="A93" s="1">
        <v>91</v>
      </c>
      <c r="B93">
        <v>204</v>
      </c>
      <c r="C93">
        <v>188</v>
      </c>
      <c r="D93">
        <v>194</v>
      </c>
      <c r="E93">
        <v>91</v>
      </c>
      <c r="F93">
        <v>0</v>
      </c>
    </row>
    <row r="94" spans="1:6" x14ac:dyDescent="0.25">
      <c r="A94" s="1">
        <v>92</v>
      </c>
      <c r="B94">
        <v>61</v>
      </c>
      <c r="C94">
        <v>154</v>
      </c>
      <c r="D94">
        <v>202</v>
      </c>
      <c r="E94">
        <v>90</v>
      </c>
      <c r="F94">
        <v>0</v>
      </c>
    </row>
    <row r="95" spans="1:6" x14ac:dyDescent="0.25">
      <c r="A95" s="1">
        <v>93</v>
      </c>
      <c r="B95">
        <v>189</v>
      </c>
      <c r="C95">
        <v>108</v>
      </c>
      <c r="D95">
        <v>194</v>
      </c>
      <c r="E95">
        <v>96</v>
      </c>
      <c r="F95">
        <v>0</v>
      </c>
    </row>
    <row r="96" spans="1:6" x14ac:dyDescent="0.25">
      <c r="A96" s="1">
        <v>94</v>
      </c>
      <c r="B96">
        <v>149</v>
      </c>
      <c r="C96">
        <v>0</v>
      </c>
      <c r="D96">
        <v>207</v>
      </c>
      <c r="E96">
        <v>95</v>
      </c>
      <c r="F96">
        <v>0</v>
      </c>
    </row>
    <row r="97" spans="1:6" x14ac:dyDescent="0.25">
      <c r="A97" s="1">
        <v>95</v>
      </c>
      <c r="B97">
        <v>107</v>
      </c>
      <c r="C97">
        <v>101</v>
      </c>
      <c r="D97">
        <v>201</v>
      </c>
      <c r="E97">
        <v>121</v>
      </c>
      <c r="F97">
        <v>0</v>
      </c>
    </row>
    <row r="98" spans="1:6" x14ac:dyDescent="0.25">
      <c r="A98" s="1">
        <v>96</v>
      </c>
      <c r="B98">
        <v>132</v>
      </c>
      <c r="C98">
        <v>130</v>
      </c>
      <c r="D98">
        <v>212</v>
      </c>
      <c r="E98">
        <v>100</v>
      </c>
      <c r="F98">
        <v>0</v>
      </c>
    </row>
    <row r="99" spans="1:6" x14ac:dyDescent="0.25">
      <c r="A99" s="1">
        <v>97</v>
      </c>
      <c r="B99">
        <v>127</v>
      </c>
      <c r="C99">
        <v>115</v>
      </c>
      <c r="D99">
        <v>202</v>
      </c>
      <c r="E99">
        <v>97</v>
      </c>
      <c r="F99">
        <v>152</v>
      </c>
    </row>
    <row r="100" spans="1:6" x14ac:dyDescent="0.25">
      <c r="A100" s="1">
        <v>98</v>
      </c>
      <c r="B100">
        <v>87</v>
      </c>
      <c r="C100">
        <v>74</v>
      </c>
      <c r="D100">
        <v>214</v>
      </c>
      <c r="E100">
        <v>92</v>
      </c>
      <c r="F100">
        <v>142</v>
      </c>
    </row>
    <row r="101" spans="1:6" x14ac:dyDescent="0.25">
      <c r="A101" s="1">
        <v>99</v>
      </c>
      <c r="B101">
        <v>33</v>
      </c>
      <c r="C101">
        <v>181</v>
      </c>
      <c r="D101">
        <v>195</v>
      </c>
      <c r="E101">
        <v>115</v>
      </c>
      <c r="F101">
        <v>152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EA8E-B115-42E2-86A5-2A996FD2ADA7}">
  <dimension ref="A1:T13"/>
  <sheetViews>
    <sheetView zoomScale="94" workbookViewId="0">
      <pane xSplit="4" ySplit="1" topLeftCell="G2" activePane="bottomRight" state="frozen"/>
      <selection pane="topRight" activeCell="E1" sqref="E1"/>
      <selection pane="bottomLeft" activeCell="A2" sqref="A2"/>
      <selection pane="bottomRight" activeCell="L10" sqref="L10"/>
    </sheetView>
  </sheetViews>
  <sheetFormatPr defaultRowHeight="15" x14ac:dyDescent="0.25"/>
  <cols>
    <col min="1" max="1" width="13.28515625" bestFit="1" customWidth="1"/>
    <col min="3" max="3" width="11.28515625" bestFit="1" customWidth="1"/>
    <col min="4" max="4" width="11.28515625" customWidth="1"/>
    <col min="5" max="5" width="13.7109375" customWidth="1"/>
    <col min="6" max="6" width="18.7109375" bestFit="1" customWidth="1"/>
    <col min="7" max="7" width="22.7109375" customWidth="1"/>
    <col min="8" max="8" width="19.28515625" customWidth="1"/>
    <col min="9" max="9" width="19.140625" style="5" customWidth="1"/>
    <col min="10" max="10" width="15" style="18" customWidth="1"/>
    <col min="11" max="12" width="19.140625" style="5" customWidth="1"/>
    <col min="13" max="13" width="7.5703125" style="22" customWidth="1"/>
    <col min="15" max="15" width="13.28515625" bestFit="1" customWidth="1"/>
    <col min="16" max="16" width="14.7109375" customWidth="1"/>
    <col min="17" max="17" width="9.5703125" bestFit="1" customWidth="1"/>
    <col min="18" max="18" width="13.28515625" bestFit="1" customWidth="1"/>
  </cols>
  <sheetData>
    <row r="1" spans="1:20" x14ac:dyDescent="0.25">
      <c r="A1" s="6" t="s">
        <v>3</v>
      </c>
      <c r="B1" s="6" t="s">
        <v>4</v>
      </c>
      <c r="C1" s="6" t="s">
        <v>6</v>
      </c>
      <c r="D1" s="6" t="s">
        <v>7</v>
      </c>
      <c r="E1" s="11" t="s">
        <v>8</v>
      </c>
      <c r="F1" s="11" t="s">
        <v>20</v>
      </c>
      <c r="G1" s="11" t="s">
        <v>28</v>
      </c>
      <c r="H1" s="11" t="s">
        <v>21</v>
      </c>
      <c r="I1" s="12" t="s">
        <v>29</v>
      </c>
      <c r="J1" s="15" t="s">
        <v>30</v>
      </c>
      <c r="K1" s="13" t="s">
        <v>31</v>
      </c>
      <c r="L1" s="13" t="s">
        <v>42</v>
      </c>
      <c r="M1" s="20" t="s">
        <v>39</v>
      </c>
      <c r="O1" s="3" t="s">
        <v>3</v>
      </c>
      <c r="P1" s="4" t="s">
        <v>5</v>
      </c>
      <c r="Q1" s="65" t="s">
        <v>9</v>
      </c>
      <c r="R1" s="65"/>
      <c r="S1" s="65"/>
      <c r="T1" s="4" t="s">
        <v>14</v>
      </c>
    </row>
    <row r="2" spans="1:20" x14ac:dyDescent="0.25">
      <c r="A2" s="7" t="s">
        <v>19</v>
      </c>
      <c r="B2" s="8"/>
      <c r="C2" s="7">
        <v>0</v>
      </c>
      <c r="D2" s="7">
        <v>1</v>
      </c>
      <c r="E2" s="7">
        <v>44</v>
      </c>
      <c r="F2" s="8"/>
      <c r="G2" s="8"/>
      <c r="H2" s="8"/>
      <c r="I2" s="9">
        <f>SUMPRODUCT(E2:H2,$P$3:$S$3)</f>
        <v>0.12583999999999998</v>
      </c>
      <c r="J2" s="17"/>
      <c r="K2" s="14"/>
      <c r="L2" s="9">
        <f>0.005*E2</f>
        <v>0.22</v>
      </c>
      <c r="M2" s="21">
        <v>0</v>
      </c>
      <c r="O2" s="3" t="s">
        <v>18</v>
      </c>
      <c r="P2" t="s">
        <v>19</v>
      </c>
      <c r="Q2" s="2" t="s">
        <v>20</v>
      </c>
      <c r="R2" s="2" t="s">
        <v>22</v>
      </c>
      <c r="S2" t="s">
        <v>21</v>
      </c>
      <c r="T2" s="2" t="s">
        <v>20</v>
      </c>
    </row>
    <row r="3" spans="1:20" x14ac:dyDescent="0.25">
      <c r="A3" s="7" t="s">
        <v>19</v>
      </c>
      <c r="B3" s="8"/>
      <c r="C3" s="7">
        <v>0</v>
      </c>
      <c r="D3" s="7">
        <v>2</v>
      </c>
      <c r="E3" s="7">
        <v>138</v>
      </c>
      <c r="F3" s="8"/>
      <c r="G3" s="8"/>
      <c r="H3" s="8"/>
      <c r="I3" s="9">
        <f t="shared" ref="I3:I13" si="0">SUMPRODUCT(E3:H3,$P$3:$S$3)</f>
        <v>0.39467999999999998</v>
      </c>
      <c r="J3" s="17"/>
      <c r="K3" s="14"/>
      <c r="L3" s="9">
        <f t="shared" ref="L3:L9" si="1">0.005*E3</f>
        <v>0.69000000000000006</v>
      </c>
      <c r="M3" s="21">
        <v>1</v>
      </c>
      <c r="O3" s="3" t="s">
        <v>15</v>
      </c>
      <c r="P3">
        <f>1.43/500</f>
        <v>2.8599999999999997E-3</v>
      </c>
      <c r="Q3">
        <v>0.19</v>
      </c>
      <c r="R3">
        <v>3701.4</v>
      </c>
      <c r="S3">
        <v>665.96</v>
      </c>
      <c r="T3">
        <v>0.19</v>
      </c>
    </row>
    <row r="4" spans="1:20" x14ac:dyDescent="0.25">
      <c r="A4" s="7" t="s">
        <v>34</v>
      </c>
      <c r="B4" s="8"/>
      <c r="C4" s="63">
        <v>1</v>
      </c>
      <c r="D4" s="63">
        <v>1</v>
      </c>
      <c r="E4" s="8"/>
      <c r="F4" s="7">
        <v>5.0000000000000001E-3</v>
      </c>
      <c r="G4" s="7">
        <v>1.2999999999999999E-3</v>
      </c>
      <c r="H4" s="7">
        <v>2.9999999999999997E-4</v>
      </c>
      <c r="I4" s="9">
        <f>SUMPRODUCT(E4:H4,$P$3:$S$3)</f>
        <v>5.0125579999999994</v>
      </c>
      <c r="J4" s="17"/>
      <c r="K4" s="14"/>
      <c r="L4" s="19">
        <v>2</v>
      </c>
      <c r="M4" s="21">
        <v>2</v>
      </c>
    </row>
    <row r="5" spans="1:20" x14ac:dyDescent="0.25">
      <c r="A5" s="7" t="s">
        <v>34</v>
      </c>
      <c r="B5" s="8"/>
      <c r="C5" s="63">
        <v>2</v>
      </c>
      <c r="D5" s="63">
        <v>2</v>
      </c>
      <c r="E5" s="8"/>
      <c r="F5" s="7">
        <v>3.0000000000000001E-3</v>
      </c>
      <c r="G5" s="7">
        <v>1.1999999999999999E-3</v>
      </c>
      <c r="H5" s="7">
        <v>2.0000000000000001E-4</v>
      </c>
      <c r="I5" s="9">
        <f>SUMPRODUCT(E5:H5,$P$3:$S$3)</f>
        <v>4.5754419999999998</v>
      </c>
      <c r="J5" s="17"/>
      <c r="K5" s="14"/>
      <c r="L5" s="19">
        <v>2.2000000000000002</v>
      </c>
      <c r="M5" s="21">
        <v>3</v>
      </c>
    </row>
    <row r="6" spans="1:20" x14ac:dyDescent="0.25">
      <c r="A6" s="7" t="s">
        <v>19</v>
      </c>
      <c r="B6" s="8"/>
      <c r="C6" s="7">
        <v>1</v>
      </c>
      <c r="D6" s="7">
        <v>3</v>
      </c>
      <c r="E6" s="7">
        <v>211</v>
      </c>
      <c r="F6" s="8"/>
      <c r="G6" s="8"/>
      <c r="H6" s="8"/>
      <c r="I6" s="9">
        <f t="shared" si="0"/>
        <v>0.60345999999999989</v>
      </c>
      <c r="J6" s="17"/>
      <c r="K6" s="14"/>
      <c r="L6" s="9">
        <f t="shared" si="1"/>
        <v>1.0549999999999999</v>
      </c>
      <c r="M6" s="21">
        <v>4</v>
      </c>
      <c r="O6" s="2"/>
    </row>
    <row r="7" spans="1:20" x14ac:dyDescent="0.25">
      <c r="A7" s="7" t="s">
        <v>19</v>
      </c>
      <c r="B7" s="8"/>
      <c r="C7" s="7">
        <v>1</v>
      </c>
      <c r="D7" s="7">
        <v>4</v>
      </c>
      <c r="E7" s="7">
        <v>86</v>
      </c>
      <c r="F7" s="8"/>
      <c r="G7" s="8"/>
      <c r="H7" s="8"/>
      <c r="I7" s="9">
        <f t="shared" si="0"/>
        <v>0.24595999999999998</v>
      </c>
      <c r="J7" s="17"/>
      <c r="K7" s="14"/>
      <c r="L7" s="9">
        <f t="shared" si="1"/>
        <v>0.43</v>
      </c>
      <c r="M7" s="21">
        <v>5</v>
      </c>
      <c r="P7" s="2"/>
    </row>
    <row r="8" spans="1:20" x14ac:dyDescent="0.25">
      <c r="A8" s="7" t="s">
        <v>19</v>
      </c>
      <c r="B8" s="8"/>
      <c r="C8" s="7">
        <v>2</v>
      </c>
      <c r="D8" s="7">
        <v>3</v>
      </c>
      <c r="E8" s="7">
        <v>97</v>
      </c>
      <c r="F8" s="8"/>
      <c r="G8" s="8"/>
      <c r="H8" s="8"/>
      <c r="I8" s="9">
        <f t="shared" si="0"/>
        <v>0.27741999999999994</v>
      </c>
      <c r="J8" s="17"/>
      <c r="K8" s="14"/>
      <c r="L8" s="9">
        <f t="shared" si="1"/>
        <v>0.48499999999999999</v>
      </c>
      <c r="M8" s="21">
        <v>6</v>
      </c>
      <c r="O8" t="s">
        <v>27</v>
      </c>
    </row>
    <row r="9" spans="1:20" x14ac:dyDescent="0.25">
      <c r="A9" s="7" t="s">
        <v>19</v>
      </c>
      <c r="B9" s="8"/>
      <c r="C9" s="7">
        <v>2</v>
      </c>
      <c r="D9" s="7">
        <v>4</v>
      </c>
      <c r="E9" s="7">
        <v>150</v>
      </c>
      <c r="F9" s="8"/>
      <c r="G9" s="8"/>
      <c r="H9" s="8"/>
      <c r="I9" s="9">
        <f t="shared" si="0"/>
        <v>0.42899999999999994</v>
      </c>
      <c r="J9" s="17"/>
      <c r="K9" s="14"/>
      <c r="L9" s="9">
        <f t="shared" si="1"/>
        <v>0.75</v>
      </c>
      <c r="M9" s="21">
        <v>7</v>
      </c>
      <c r="O9" t="s">
        <v>24</v>
      </c>
    </row>
    <row r="10" spans="1:20" x14ac:dyDescent="0.25">
      <c r="A10" s="7" t="s">
        <v>14</v>
      </c>
      <c r="B10" s="7">
        <v>1</v>
      </c>
      <c r="C10" s="8"/>
      <c r="D10" s="8"/>
      <c r="E10" s="8"/>
      <c r="F10" s="7">
        <v>1E-3</v>
      </c>
      <c r="G10" s="8"/>
      <c r="H10" s="8"/>
      <c r="I10" s="9">
        <f t="shared" si="0"/>
        <v>1.9000000000000001E-4</v>
      </c>
      <c r="J10" s="16">
        <v>380</v>
      </c>
      <c r="K10" s="9">
        <v>0.11</v>
      </c>
      <c r="L10" s="14"/>
      <c r="M10" s="21">
        <v>1</v>
      </c>
    </row>
    <row r="11" spans="1:20" x14ac:dyDescent="0.25">
      <c r="A11" s="7" t="s">
        <v>14</v>
      </c>
      <c r="B11" s="7">
        <v>2</v>
      </c>
      <c r="C11" s="8"/>
      <c r="D11" s="8"/>
      <c r="E11" s="8"/>
      <c r="F11" s="7">
        <v>1E-3</v>
      </c>
      <c r="G11" s="8"/>
      <c r="H11" s="8"/>
      <c r="I11" s="9">
        <f t="shared" si="0"/>
        <v>1.9000000000000001E-4</v>
      </c>
      <c r="J11" s="16">
        <v>350</v>
      </c>
      <c r="K11" s="9">
        <v>0.13</v>
      </c>
      <c r="L11" s="14"/>
      <c r="M11" s="21">
        <v>2</v>
      </c>
    </row>
    <row r="12" spans="1:20" x14ac:dyDescent="0.25">
      <c r="A12" s="7" t="s">
        <v>14</v>
      </c>
      <c r="B12" s="7">
        <v>3</v>
      </c>
      <c r="C12" s="8"/>
      <c r="D12" s="8"/>
      <c r="E12" s="8"/>
      <c r="F12" s="7">
        <v>1E-3</v>
      </c>
      <c r="G12" s="8"/>
      <c r="H12" s="8"/>
      <c r="I12" s="9">
        <f t="shared" si="0"/>
        <v>1.9000000000000001E-4</v>
      </c>
      <c r="J12" s="16">
        <v>400</v>
      </c>
      <c r="K12" s="9">
        <v>0.12</v>
      </c>
      <c r="L12" s="14"/>
      <c r="M12" s="21">
        <v>3</v>
      </c>
    </row>
    <row r="13" spans="1:20" x14ac:dyDescent="0.25">
      <c r="A13" s="7" t="s">
        <v>14</v>
      </c>
      <c r="B13" s="7">
        <v>4</v>
      </c>
      <c r="C13" s="8"/>
      <c r="D13" s="8"/>
      <c r="E13" s="8"/>
      <c r="F13" s="7">
        <v>1E-3</v>
      </c>
      <c r="G13" s="8"/>
      <c r="H13" s="8"/>
      <c r="I13" s="9">
        <f t="shared" si="0"/>
        <v>1.9000000000000001E-4</v>
      </c>
      <c r="J13" s="16">
        <v>80</v>
      </c>
      <c r="K13" s="9">
        <v>0.15</v>
      </c>
      <c r="L13" s="14"/>
      <c r="M13" s="21">
        <v>4</v>
      </c>
    </row>
  </sheetData>
  <mergeCells count="1">
    <mergeCell ref="Q1:S1"/>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8E768-C704-44E9-923F-7876EA4DAB1D}">
  <dimension ref="A1:U30"/>
  <sheetViews>
    <sheetView workbookViewId="0">
      <pane xSplit="4" ySplit="1" topLeftCell="F9" activePane="bottomRight" state="frozen"/>
      <selection pane="topRight" activeCell="E1" sqref="E1"/>
      <selection pane="bottomLeft" activeCell="A2" sqref="A2"/>
      <selection pane="bottomRight" activeCell="J20" sqref="J20"/>
    </sheetView>
  </sheetViews>
  <sheetFormatPr defaultRowHeight="15" x14ac:dyDescent="0.25"/>
  <cols>
    <col min="1" max="1" width="13.28515625" bestFit="1" customWidth="1"/>
    <col min="3" max="3" width="11.28515625" bestFit="1" customWidth="1"/>
    <col min="4" max="4" width="11.28515625" customWidth="1"/>
    <col min="5" max="5" width="13.7109375" customWidth="1"/>
    <col min="6" max="6" width="18.7109375" bestFit="1" customWidth="1"/>
    <col min="7" max="7" width="22.7109375" customWidth="1"/>
    <col min="8" max="8" width="19.28515625" customWidth="1"/>
    <col min="9" max="9" width="19.140625" style="5" customWidth="1"/>
    <col min="10" max="10" width="14.85546875" style="5" customWidth="1"/>
    <col min="11" max="11" width="15" style="18" customWidth="1"/>
    <col min="12" max="13" width="19.140625" style="5" customWidth="1"/>
    <col min="14" max="14" width="7.5703125" style="22" customWidth="1"/>
    <col min="16" max="16" width="13.28515625" bestFit="1" customWidth="1"/>
    <col min="17" max="17" width="14.7109375" customWidth="1"/>
    <col min="18" max="18" width="9.5703125" bestFit="1" customWidth="1"/>
    <col min="19" max="19" width="13.28515625" bestFit="1" customWidth="1"/>
  </cols>
  <sheetData>
    <row r="1" spans="1:21" x14ac:dyDescent="0.25">
      <c r="A1" s="6" t="s">
        <v>3</v>
      </c>
      <c r="B1" s="6" t="s">
        <v>4</v>
      </c>
      <c r="C1" s="6" t="s">
        <v>6</v>
      </c>
      <c r="D1" s="6" t="s">
        <v>7</v>
      </c>
      <c r="E1" s="11" t="s">
        <v>8</v>
      </c>
      <c r="F1" s="11" t="s">
        <v>20</v>
      </c>
      <c r="G1" s="11" t="s">
        <v>28</v>
      </c>
      <c r="H1" s="11" t="s">
        <v>21</v>
      </c>
      <c r="I1" s="12" t="s">
        <v>29</v>
      </c>
      <c r="J1" s="13" t="s">
        <v>33</v>
      </c>
      <c r="K1" s="15" t="s">
        <v>30</v>
      </c>
      <c r="L1" s="13" t="s">
        <v>31</v>
      </c>
      <c r="M1" s="13" t="s">
        <v>42</v>
      </c>
      <c r="N1" s="20" t="s">
        <v>39</v>
      </c>
      <c r="P1" s="3" t="s">
        <v>3</v>
      </c>
      <c r="Q1" s="4" t="s">
        <v>5</v>
      </c>
      <c r="R1" s="65" t="s">
        <v>9</v>
      </c>
      <c r="S1" s="65"/>
      <c r="T1" s="65"/>
      <c r="U1" s="4" t="s">
        <v>14</v>
      </c>
    </row>
    <row r="2" spans="1:21" x14ac:dyDescent="0.25">
      <c r="A2" s="7" t="s">
        <v>19</v>
      </c>
      <c r="B2" s="8"/>
      <c r="C2" s="7">
        <v>0</v>
      </c>
      <c r="D2" s="7">
        <v>2</v>
      </c>
      <c r="E2" s="7">
        <v>44</v>
      </c>
      <c r="F2" s="8"/>
      <c r="G2" s="8"/>
      <c r="H2" s="8"/>
      <c r="I2" s="9">
        <f>SUMPRODUCT(E2:H2,$Q$3:$T$3)</f>
        <v>0.12583999999999998</v>
      </c>
      <c r="J2" s="14"/>
      <c r="K2" s="17"/>
      <c r="L2" s="14"/>
      <c r="M2" s="9">
        <f>0.005*E2</f>
        <v>0.22</v>
      </c>
      <c r="N2" s="21">
        <v>0</v>
      </c>
      <c r="P2" s="3" t="s">
        <v>18</v>
      </c>
      <c r="Q2" t="s">
        <v>19</v>
      </c>
      <c r="R2" s="2" t="s">
        <v>20</v>
      </c>
      <c r="S2" s="2" t="s">
        <v>22</v>
      </c>
      <c r="T2" t="s">
        <v>21</v>
      </c>
      <c r="U2" s="2" t="s">
        <v>20</v>
      </c>
    </row>
    <row r="3" spans="1:21" x14ac:dyDescent="0.25">
      <c r="A3" s="7" t="s">
        <v>19</v>
      </c>
      <c r="B3" s="8"/>
      <c r="C3" s="7">
        <v>0</v>
      </c>
      <c r="D3" s="7">
        <v>3</v>
      </c>
      <c r="E3" s="7">
        <v>138</v>
      </c>
      <c r="F3" s="8"/>
      <c r="G3" s="8"/>
      <c r="H3" s="8"/>
      <c r="I3" s="9">
        <f t="shared" ref="I3:I30" si="0">SUMPRODUCT(E3:H3,$Q$3:$T$3)</f>
        <v>0.39467999999999998</v>
      </c>
      <c r="J3" s="14"/>
      <c r="K3" s="17"/>
      <c r="L3" s="14"/>
      <c r="M3" s="9">
        <f t="shared" ref="M3:M22" si="1">0.005*E3</f>
        <v>0.69000000000000006</v>
      </c>
      <c r="N3" s="21">
        <v>1</v>
      </c>
      <c r="P3" s="3" t="s">
        <v>15</v>
      </c>
      <c r="Q3">
        <f>1.43/500</f>
        <v>2.8599999999999997E-3</v>
      </c>
      <c r="R3">
        <v>0.19</v>
      </c>
      <c r="S3">
        <v>3701.4</v>
      </c>
      <c r="T3">
        <v>665.96</v>
      </c>
      <c r="U3">
        <v>0.19</v>
      </c>
    </row>
    <row r="4" spans="1:21" x14ac:dyDescent="0.25">
      <c r="A4" s="7" t="s">
        <v>19</v>
      </c>
      <c r="B4" s="8"/>
      <c r="C4" s="7">
        <v>0</v>
      </c>
      <c r="D4" s="7">
        <v>4</v>
      </c>
      <c r="E4" s="7">
        <v>113</v>
      </c>
      <c r="F4" s="8"/>
      <c r="G4" s="8"/>
      <c r="H4" s="8"/>
      <c r="I4" s="9">
        <f t="shared" si="0"/>
        <v>0.32317999999999997</v>
      </c>
      <c r="J4" s="14"/>
      <c r="K4" s="17"/>
      <c r="L4" s="14"/>
      <c r="M4" s="9">
        <f t="shared" si="1"/>
        <v>0.56500000000000006</v>
      </c>
      <c r="N4" s="21">
        <v>2</v>
      </c>
      <c r="P4" s="3" t="s">
        <v>16</v>
      </c>
      <c r="Q4" t="s">
        <v>26</v>
      </c>
      <c r="R4" t="s">
        <v>17</v>
      </c>
      <c r="S4" t="s">
        <v>23</v>
      </c>
      <c r="T4" t="s">
        <v>23</v>
      </c>
      <c r="U4" t="s">
        <v>17</v>
      </c>
    </row>
    <row r="5" spans="1:21" x14ac:dyDescent="0.25">
      <c r="A5" s="7" t="s">
        <v>19</v>
      </c>
      <c r="B5" s="8"/>
      <c r="C5" s="7">
        <v>1</v>
      </c>
      <c r="D5" s="7">
        <v>2</v>
      </c>
      <c r="E5" s="7">
        <v>211</v>
      </c>
      <c r="F5" s="8"/>
      <c r="G5" s="8"/>
      <c r="H5" s="8"/>
      <c r="I5" s="9">
        <f t="shared" si="0"/>
        <v>0.60345999999999989</v>
      </c>
      <c r="J5" s="14"/>
      <c r="K5" s="17"/>
      <c r="L5" s="14"/>
      <c r="M5" s="9">
        <f t="shared" si="1"/>
        <v>1.0549999999999999</v>
      </c>
      <c r="N5" s="21">
        <v>3</v>
      </c>
      <c r="P5" s="2"/>
    </row>
    <row r="6" spans="1:21" x14ac:dyDescent="0.25">
      <c r="A6" s="7" t="s">
        <v>19</v>
      </c>
      <c r="B6" s="8"/>
      <c r="C6" s="7">
        <v>1</v>
      </c>
      <c r="D6" s="7">
        <v>3</v>
      </c>
      <c r="E6" s="7">
        <v>130</v>
      </c>
      <c r="F6" s="8"/>
      <c r="G6" s="8"/>
      <c r="H6" s="8"/>
      <c r="I6" s="9">
        <f t="shared" si="0"/>
        <v>0.37179999999999996</v>
      </c>
      <c r="J6" s="14"/>
      <c r="K6" s="17"/>
      <c r="L6" s="14"/>
      <c r="M6" s="9">
        <f t="shared" si="1"/>
        <v>0.65</v>
      </c>
      <c r="N6" s="21">
        <v>4</v>
      </c>
      <c r="Q6" s="2"/>
    </row>
    <row r="7" spans="1:21" x14ac:dyDescent="0.25">
      <c r="A7" s="7" t="s">
        <v>19</v>
      </c>
      <c r="B7" s="8"/>
      <c r="C7" s="7">
        <v>1</v>
      </c>
      <c r="D7" s="7">
        <v>4</v>
      </c>
      <c r="E7" s="7">
        <v>126</v>
      </c>
      <c r="F7" s="8"/>
      <c r="G7" s="8"/>
      <c r="H7" s="8"/>
      <c r="I7" s="9">
        <f t="shared" si="0"/>
        <v>0.36035999999999996</v>
      </c>
      <c r="J7" s="14"/>
      <c r="K7" s="17"/>
      <c r="L7" s="14"/>
      <c r="M7" s="9">
        <f t="shared" si="1"/>
        <v>0.63</v>
      </c>
      <c r="N7" s="21">
        <v>5</v>
      </c>
    </row>
    <row r="8" spans="1:21" x14ac:dyDescent="0.25">
      <c r="A8" s="7" t="s">
        <v>34</v>
      </c>
      <c r="B8" s="8"/>
      <c r="C8" s="7">
        <v>2</v>
      </c>
      <c r="D8" s="7">
        <v>2</v>
      </c>
      <c r="E8" s="8"/>
      <c r="F8" s="7">
        <v>5.0000000000000001E-3</v>
      </c>
      <c r="G8" s="7">
        <v>1.2999999999999999E-3</v>
      </c>
      <c r="H8" s="7">
        <v>2.9999999999999997E-4</v>
      </c>
      <c r="I8" s="9">
        <f>SUMPRODUCT(E8:H8,$Q$3:$T$3)</f>
        <v>5.0125579999999994</v>
      </c>
      <c r="J8" s="14"/>
      <c r="K8" s="17"/>
      <c r="L8" s="14"/>
      <c r="M8" s="19">
        <v>2</v>
      </c>
      <c r="N8" s="21">
        <v>0</v>
      </c>
    </row>
    <row r="9" spans="1:21" x14ac:dyDescent="0.25">
      <c r="A9" s="7" t="s">
        <v>34</v>
      </c>
      <c r="B9" s="8"/>
      <c r="C9" s="7">
        <v>3</v>
      </c>
      <c r="D9" s="7">
        <v>3</v>
      </c>
      <c r="E9" s="8"/>
      <c r="F9" s="7">
        <v>3.0000000000000001E-3</v>
      </c>
      <c r="G9" s="7">
        <v>1.1999999999999999E-3</v>
      </c>
      <c r="H9" s="7">
        <v>2.0000000000000001E-4</v>
      </c>
      <c r="I9" s="9">
        <f>SUMPRODUCT(E9:H9,$Q$3:$T$3)</f>
        <v>4.5754419999999998</v>
      </c>
      <c r="J9" s="14"/>
      <c r="K9" s="17"/>
      <c r="L9" s="14"/>
      <c r="M9" s="19">
        <v>2.2000000000000002</v>
      </c>
      <c r="N9" s="21">
        <v>1</v>
      </c>
    </row>
    <row r="10" spans="1:21" x14ac:dyDescent="0.25">
      <c r="A10" s="7" t="s">
        <v>34</v>
      </c>
      <c r="B10" s="8"/>
      <c r="C10" s="7">
        <v>4</v>
      </c>
      <c r="D10" s="7">
        <v>4</v>
      </c>
      <c r="E10" s="8"/>
      <c r="F10" s="7">
        <v>4.0000000000000001E-3</v>
      </c>
      <c r="G10" s="7">
        <v>1.4E-3</v>
      </c>
      <c r="H10" s="7">
        <v>4.0000000000000002E-4</v>
      </c>
      <c r="I10" s="9">
        <f>SUMPRODUCT(E10:H10,$Q$3:$T$3)</f>
        <v>5.4491040000000002</v>
      </c>
      <c r="J10" s="14"/>
      <c r="K10" s="17"/>
      <c r="L10" s="14"/>
      <c r="M10" s="19">
        <v>2.2999999999999998</v>
      </c>
      <c r="N10" s="21">
        <v>2</v>
      </c>
    </row>
    <row r="11" spans="1:21" x14ac:dyDescent="0.25">
      <c r="A11" s="7" t="s">
        <v>19</v>
      </c>
      <c r="B11" s="8"/>
      <c r="C11" s="7">
        <v>2</v>
      </c>
      <c r="D11" s="7">
        <v>5</v>
      </c>
      <c r="E11" s="7">
        <v>15</v>
      </c>
      <c r="F11" s="8"/>
      <c r="G11" s="8"/>
      <c r="H11" s="8"/>
      <c r="I11" s="9">
        <f t="shared" si="0"/>
        <v>4.2899999999999994E-2</v>
      </c>
      <c r="J11" s="14"/>
      <c r="K11" s="17"/>
      <c r="L11" s="14"/>
      <c r="M11" s="9">
        <f t="shared" si="1"/>
        <v>7.4999999999999997E-2</v>
      </c>
      <c r="N11" s="21">
        <v>6</v>
      </c>
      <c r="P11" t="s">
        <v>27</v>
      </c>
    </row>
    <row r="12" spans="1:21" x14ac:dyDescent="0.25">
      <c r="A12" s="7" t="s">
        <v>19</v>
      </c>
      <c r="B12" s="8"/>
      <c r="C12" s="7">
        <v>2</v>
      </c>
      <c r="D12" s="7">
        <v>6</v>
      </c>
      <c r="E12" s="7">
        <v>86</v>
      </c>
      <c r="F12" s="8"/>
      <c r="G12" s="8"/>
      <c r="H12" s="8"/>
      <c r="I12" s="9">
        <f t="shared" si="0"/>
        <v>0.24595999999999998</v>
      </c>
      <c r="J12" s="14"/>
      <c r="K12" s="17"/>
      <c r="L12" s="14"/>
      <c r="M12" s="9">
        <f t="shared" si="1"/>
        <v>0.43</v>
      </c>
      <c r="N12" s="21">
        <v>7</v>
      </c>
      <c r="P12" t="s">
        <v>24</v>
      </c>
    </row>
    <row r="13" spans="1:21" x14ac:dyDescent="0.25">
      <c r="A13" s="7" t="s">
        <v>19</v>
      </c>
      <c r="B13" s="8"/>
      <c r="C13" s="7">
        <v>3</v>
      </c>
      <c r="D13" s="7">
        <v>5</v>
      </c>
      <c r="E13" s="7">
        <v>126</v>
      </c>
      <c r="F13" s="8"/>
      <c r="G13" s="8"/>
      <c r="H13" s="8"/>
      <c r="I13" s="9">
        <f t="shared" si="0"/>
        <v>0.36035999999999996</v>
      </c>
      <c r="J13" s="14"/>
      <c r="K13" s="17"/>
      <c r="L13" s="14"/>
      <c r="M13" s="9">
        <f t="shared" si="1"/>
        <v>0.63</v>
      </c>
      <c r="N13" s="21">
        <v>8</v>
      </c>
      <c r="P13" t="s">
        <v>25</v>
      </c>
    </row>
    <row r="14" spans="1:21" x14ac:dyDescent="0.25">
      <c r="A14" s="7" t="s">
        <v>19</v>
      </c>
      <c r="B14" s="8"/>
      <c r="C14" s="7">
        <v>3</v>
      </c>
      <c r="D14" s="7">
        <v>6</v>
      </c>
      <c r="E14" s="7">
        <v>46</v>
      </c>
      <c r="F14" s="8"/>
      <c r="G14" s="8"/>
      <c r="H14" s="8"/>
      <c r="I14" s="9">
        <f t="shared" si="0"/>
        <v>0.13155999999999998</v>
      </c>
      <c r="J14" s="14"/>
      <c r="K14" s="17"/>
      <c r="L14" s="14"/>
      <c r="M14" s="9">
        <f t="shared" si="1"/>
        <v>0.23</v>
      </c>
      <c r="N14" s="21">
        <v>9</v>
      </c>
      <c r="P14" t="s">
        <v>32</v>
      </c>
    </row>
    <row r="15" spans="1:21" x14ac:dyDescent="0.25">
      <c r="A15" s="7" t="s">
        <v>19</v>
      </c>
      <c r="B15" s="8"/>
      <c r="C15" s="7">
        <v>4</v>
      </c>
      <c r="D15" s="7">
        <v>5</v>
      </c>
      <c r="E15" s="7">
        <v>99</v>
      </c>
      <c r="F15" s="8"/>
      <c r="G15" s="8"/>
      <c r="H15" s="8"/>
      <c r="I15" s="9">
        <f t="shared" si="0"/>
        <v>0.28313999999999995</v>
      </c>
      <c r="J15" s="14"/>
      <c r="K15" s="17"/>
      <c r="L15" s="14"/>
      <c r="M15" s="9">
        <f t="shared" si="1"/>
        <v>0.495</v>
      </c>
      <c r="N15" s="21">
        <v>10</v>
      </c>
      <c r="P15" t="s">
        <v>37</v>
      </c>
    </row>
    <row r="16" spans="1:21" x14ac:dyDescent="0.25">
      <c r="A16" s="7" t="s">
        <v>19</v>
      </c>
      <c r="B16" s="8"/>
      <c r="C16" s="7">
        <v>4</v>
      </c>
      <c r="D16" s="7">
        <v>6</v>
      </c>
      <c r="E16" s="7">
        <v>15</v>
      </c>
      <c r="F16" s="8"/>
      <c r="G16" s="8"/>
      <c r="H16" s="8"/>
      <c r="I16" s="9">
        <f t="shared" si="0"/>
        <v>4.2899999999999994E-2</v>
      </c>
      <c r="J16" s="14"/>
      <c r="K16" s="17"/>
      <c r="L16" s="14"/>
      <c r="M16" s="9">
        <f t="shared" si="1"/>
        <v>7.4999999999999997E-2</v>
      </c>
      <c r="N16" s="21">
        <v>11</v>
      </c>
      <c r="P16" t="s">
        <v>38</v>
      </c>
    </row>
    <row r="17" spans="1:14" x14ac:dyDescent="0.25">
      <c r="A17" s="7" t="s">
        <v>19</v>
      </c>
      <c r="B17" s="8"/>
      <c r="C17" s="7">
        <v>5</v>
      </c>
      <c r="D17" s="10">
        <v>7</v>
      </c>
      <c r="E17" s="7">
        <v>219</v>
      </c>
      <c r="F17" s="8"/>
      <c r="G17" s="8"/>
      <c r="H17" s="8"/>
      <c r="I17" s="9">
        <f t="shared" si="0"/>
        <v>0.6263399999999999</v>
      </c>
      <c r="J17" s="14"/>
      <c r="K17" s="17"/>
      <c r="L17" s="14"/>
      <c r="M17" s="9">
        <f t="shared" si="1"/>
        <v>1.095</v>
      </c>
      <c r="N17" s="21">
        <v>12</v>
      </c>
    </row>
    <row r="18" spans="1:14" x14ac:dyDescent="0.25">
      <c r="A18" s="7" t="s">
        <v>19</v>
      </c>
      <c r="B18" s="8"/>
      <c r="C18" s="7">
        <v>5</v>
      </c>
      <c r="D18" s="10">
        <v>8</v>
      </c>
      <c r="E18" s="7">
        <v>125</v>
      </c>
      <c r="F18" s="8"/>
      <c r="G18" s="8"/>
      <c r="H18" s="8"/>
      <c r="I18" s="9">
        <f t="shared" si="0"/>
        <v>0.35749999999999998</v>
      </c>
      <c r="J18" s="14"/>
      <c r="K18" s="17"/>
      <c r="L18" s="14"/>
      <c r="M18" s="9">
        <f t="shared" si="1"/>
        <v>0.625</v>
      </c>
      <c r="N18" s="21">
        <v>13</v>
      </c>
    </row>
    <row r="19" spans="1:14" x14ac:dyDescent="0.25">
      <c r="A19" s="7" t="s">
        <v>19</v>
      </c>
      <c r="B19" s="8"/>
      <c r="C19" s="7">
        <v>5</v>
      </c>
      <c r="D19" s="10">
        <v>9</v>
      </c>
      <c r="E19" s="7">
        <v>190</v>
      </c>
      <c r="F19" s="8"/>
      <c r="G19" s="8"/>
      <c r="H19" s="8"/>
      <c r="I19" s="9">
        <f t="shared" si="0"/>
        <v>0.54339999999999999</v>
      </c>
      <c r="J19" s="14"/>
      <c r="K19" s="17"/>
      <c r="L19" s="14"/>
      <c r="M19" s="9">
        <f t="shared" si="1"/>
        <v>0.95000000000000007</v>
      </c>
      <c r="N19" s="21">
        <v>14</v>
      </c>
    </row>
    <row r="20" spans="1:14" x14ac:dyDescent="0.25">
      <c r="A20" s="7" t="s">
        <v>19</v>
      </c>
      <c r="B20" s="8"/>
      <c r="C20" s="7">
        <v>6</v>
      </c>
      <c r="D20" s="10">
        <v>7</v>
      </c>
      <c r="E20" s="7">
        <v>328</v>
      </c>
      <c r="F20" s="8"/>
      <c r="G20" s="8"/>
      <c r="H20" s="8"/>
      <c r="I20" s="9">
        <f t="shared" si="0"/>
        <v>0.93807999999999991</v>
      </c>
      <c r="J20" s="14"/>
      <c r="K20" s="17"/>
      <c r="L20" s="14"/>
      <c r="M20" s="9">
        <f t="shared" si="1"/>
        <v>1.6400000000000001</v>
      </c>
      <c r="N20" s="21">
        <v>15</v>
      </c>
    </row>
    <row r="21" spans="1:14" x14ac:dyDescent="0.25">
      <c r="A21" s="7" t="s">
        <v>19</v>
      </c>
      <c r="B21" s="8"/>
      <c r="C21" s="7">
        <v>6</v>
      </c>
      <c r="D21" s="10">
        <v>8</v>
      </c>
      <c r="E21" s="7">
        <v>232</v>
      </c>
      <c r="F21" s="8"/>
      <c r="G21" s="8"/>
      <c r="H21" s="8"/>
      <c r="I21" s="9">
        <f t="shared" si="0"/>
        <v>0.66351999999999989</v>
      </c>
      <c r="J21" s="14"/>
      <c r="K21" s="17"/>
      <c r="L21" s="14"/>
      <c r="M21" s="9">
        <f t="shared" si="1"/>
        <v>1.1599999999999999</v>
      </c>
      <c r="N21" s="21">
        <v>16</v>
      </c>
    </row>
    <row r="22" spans="1:14" x14ac:dyDescent="0.25">
      <c r="A22" s="7" t="s">
        <v>19</v>
      </c>
      <c r="B22" s="8"/>
      <c r="C22" s="7">
        <v>6</v>
      </c>
      <c r="D22" s="10">
        <v>9</v>
      </c>
      <c r="E22" s="7">
        <v>116</v>
      </c>
      <c r="F22" s="8"/>
      <c r="G22" s="8"/>
      <c r="H22" s="8"/>
      <c r="I22" s="9">
        <f t="shared" si="0"/>
        <v>0.33175999999999994</v>
      </c>
      <c r="J22" s="14"/>
      <c r="K22" s="17"/>
      <c r="L22" s="14"/>
      <c r="M22" s="9">
        <f t="shared" si="1"/>
        <v>0.57999999999999996</v>
      </c>
      <c r="N22" s="21">
        <v>17</v>
      </c>
    </row>
    <row r="23" spans="1:14" x14ac:dyDescent="0.25">
      <c r="A23" s="7" t="s">
        <v>14</v>
      </c>
      <c r="B23" s="7">
        <v>2</v>
      </c>
      <c r="C23" s="8"/>
      <c r="D23" s="8"/>
      <c r="E23" s="8"/>
      <c r="F23" s="7">
        <v>1E-3</v>
      </c>
      <c r="G23" s="8"/>
      <c r="H23" s="8"/>
      <c r="I23" s="9">
        <f t="shared" si="0"/>
        <v>1.9000000000000001E-4</v>
      </c>
      <c r="J23" s="14"/>
      <c r="K23" s="16">
        <v>380</v>
      </c>
      <c r="L23" s="9">
        <v>0.11</v>
      </c>
      <c r="M23" s="14"/>
      <c r="N23" s="21">
        <v>0</v>
      </c>
    </row>
    <row r="24" spans="1:14" x14ac:dyDescent="0.25">
      <c r="A24" s="7" t="s">
        <v>14</v>
      </c>
      <c r="B24" s="7">
        <v>3</v>
      </c>
      <c r="C24" s="8"/>
      <c r="D24" s="8"/>
      <c r="E24" s="8"/>
      <c r="F24" s="7">
        <v>1E-3</v>
      </c>
      <c r="G24" s="8"/>
      <c r="H24" s="8"/>
      <c r="I24" s="9">
        <f t="shared" si="0"/>
        <v>1.9000000000000001E-4</v>
      </c>
      <c r="J24" s="14"/>
      <c r="K24" s="16">
        <v>350</v>
      </c>
      <c r="L24" s="9">
        <v>0.13</v>
      </c>
      <c r="M24" s="14"/>
      <c r="N24" s="21">
        <v>1</v>
      </c>
    </row>
    <row r="25" spans="1:14" x14ac:dyDescent="0.25">
      <c r="A25" s="7" t="s">
        <v>14</v>
      </c>
      <c r="B25" s="7">
        <v>4</v>
      </c>
      <c r="C25" s="8"/>
      <c r="D25" s="8"/>
      <c r="E25" s="8"/>
      <c r="F25" s="7">
        <v>1E-3</v>
      </c>
      <c r="G25" s="8"/>
      <c r="H25" s="8"/>
      <c r="I25" s="9">
        <f t="shared" si="0"/>
        <v>1.9000000000000001E-4</v>
      </c>
      <c r="J25" s="14"/>
      <c r="K25" s="16">
        <v>400</v>
      </c>
      <c r="L25" s="9">
        <v>0.12</v>
      </c>
      <c r="M25" s="14"/>
      <c r="N25" s="21">
        <v>2</v>
      </c>
    </row>
    <row r="26" spans="1:14" x14ac:dyDescent="0.25">
      <c r="A26" s="7" t="s">
        <v>14</v>
      </c>
      <c r="B26" s="7">
        <v>5</v>
      </c>
      <c r="C26" s="8"/>
      <c r="D26" s="8"/>
      <c r="E26" s="8"/>
      <c r="F26" s="7">
        <v>1E-3</v>
      </c>
      <c r="G26" s="8"/>
      <c r="H26" s="8"/>
      <c r="I26" s="9">
        <f t="shared" si="0"/>
        <v>1.9000000000000001E-4</v>
      </c>
      <c r="J26" s="14"/>
      <c r="K26" s="16">
        <v>80</v>
      </c>
      <c r="L26" s="9">
        <v>0.15</v>
      </c>
      <c r="M26" s="14"/>
      <c r="N26" s="21">
        <v>3</v>
      </c>
    </row>
    <row r="27" spans="1:14" x14ac:dyDescent="0.25">
      <c r="A27" s="7" t="s">
        <v>14</v>
      </c>
      <c r="B27" s="7">
        <v>6</v>
      </c>
      <c r="C27" s="8"/>
      <c r="D27" s="8"/>
      <c r="E27" s="8"/>
      <c r="F27" s="7">
        <v>1E-3</v>
      </c>
      <c r="G27" s="8"/>
      <c r="H27" s="8"/>
      <c r="I27" s="9">
        <f t="shared" si="0"/>
        <v>1.9000000000000001E-4</v>
      </c>
      <c r="J27" s="14"/>
      <c r="K27" s="16">
        <v>110</v>
      </c>
      <c r="L27" s="9">
        <v>0.2</v>
      </c>
      <c r="M27" s="14"/>
      <c r="N27" s="21">
        <v>4</v>
      </c>
    </row>
    <row r="28" spans="1:14" x14ac:dyDescent="0.25">
      <c r="A28" s="7" t="s">
        <v>14</v>
      </c>
      <c r="B28" s="7">
        <v>7</v>
      </c>
      <c r="C28" s="8"/>
      <c r="D28" s="8"/>
      <c r="E28" s="8"/>
      <c r="F28" s="7">
        <v>1E-3</v>
      </c>
      <c r="G28" s="8"/>
      <c r="H28" s="8"/>
      <c r="I28" s="9">
        <f t="shared" si="0"/>
        <v>1.9000000000000001E-4</v>
      </c>
      <c r="J28" s="14"/>
      <c r="K28" s="16">
        <v>100</v>
      </c>
      <c r="L28" s="9">
        <v>0.25</v>
      </c>
      <c r="M28" s="14"/>
      <c r="N28" s="21">
        <v>5</v>
      </c>
    </row>
    <row r="29" spans="1:14" x14ac:dyDescent="0.25">
      <c r="A29" s="7" t="s">
        <v>14</v>
      </c>
      <c r="B29" s="7">
        <v>8</v>
      </c>
      <c r="C29" s="8"/>
      <c r="D29" s="8"/>
      <c r="E29" s="8"/>
      <c r="F29" s="7">
        <v>1E-3</v>
      </c>
      <c r="G29" s="8"/>
      <c r="H29" s="8"/>
      <c r="I29" s="9">
        <f t="shared" si="0"/>
        <v>1.9000000000000001E-4</v>
      </c>
      <c r="J29" s="14"/>
      <c r="K29" s="16">
        <v>80</v>
      </c>
      <c r="L29" s="9">
        <v>0.3</v>
      </c>
      <c r="M29" s="14"/>
      <c r="N29" s="21">
        <v>6</v>
      </c>
    </row>
    <row r="30" spans="1:14" x14ac:dyDescent="0.25">
      <c r="A30" s="7" t="s">
        <v>14</v>
      </c>
      <c r="B30" s="7">
        <v>9</v>
      </c>
      <c r="C30" s="8"/>
      <c r="D30" s="8"/>
      <c r="E30" s="8"/>
      <c r="F30" s="7">
        <v>1E-3</v>
      </c>
      <c r="G30" s="8"/>
      <c r="H30" s="8"/>
      <c r="I30" s="9">
        <f t="shared" si="0"/>
        <v>1.9000000000000001E-4</v>
      </c>
      <c r="J30" s="14"/>
      <c r="K30" s="16">
        <v>120</v>
      </c>
      <c r="L30" s="9">
        <v>0.2</v>
      </c>
      <c r="M30" s="14"/>
      <c r="N30" s="21">
        <v>7</v>
      </c>
    </row>
  </sheetData>
  <mergeCells count="1">
    <mergeCell ref="R1:T1"/>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323F-BA83-4EBC-AC93-5D210F05141B}">
  <dimension ref="A1:T76"/>
  <sheetViews>
    <sheetView tabSelected="1" workbookViewId="0">
      <pane xSplit="4" ySplit="1" topLeftCell="G10" activePane="bottomRight" state="frozen"/>
      <selection pane="topRight" activeCell="E1" sqref="E1"/>
      <selection pane="bottomLeft" activeCell="A2" sqref="A2"/>
      <selection pane="bottomRight" activeCell="K19" sqref="K19"/>
    </sheetView>
  </sheetViews>
  <sheetFormatPr defaultRowHeight="15" x14ac:dyDescent="0.25"/>
  <cols>
    <col min="1" max="1" width="13.28515625" bestFit="1" customWidth="1"/>
    <col min="3" max="3" width="11.28515625" bestFit="1" customWidth="1"/>
    <col min="4" max="4" width="11.28515625" customWidth="1"/>
    <col min="5" max="5" width="13.7109375" customWidth="1"/>
    <col min="6" max="6" width="18.7109375" bestFit="1" customWidth="1"/>
    <col min="7" max="7" width="22.7109375" customWidth="1"/>
    <col min="8" max="8" width="19.28515625" customWidth="1"/>
    <col min="9" max="9" width="19.140625" style="5" customWidth="1"/>
    <col min="10" max="10" width="14.85546875" style="5" customWidth="1"/>
    <col min="11" max="11" width="15" style="18" customWidth="1"/>
    <col min="12" max="13" width="19.140625" style="5" customWidth="1"/>
    <col min="14" max="14" width="7.5703125" style="22" customWidth="1"/>
    <col min="15" max="15" width="13.28515625" bestFit="1" customWidth="1"/>
    <col min="16" max="16" width="14.7109375" customWidth="1"/>
    <col min="17" max="17" width="9.5703125" bestFit="1" customWidth="1"/>
    <col min="18" max="18" width="13.28515625" bestFit="1" customWidth="1"/>
  </cols>
  <sheetData>
    <row r="1" spans="1:20" ht="15.75" thickBot="1" x14ac:dyDescent="0.3">
      <c r="A1" s="52" t="s">
        <v>3</v>
      </c>
      <c r="B1" s="52" t="s">
        <v>4</v>
      </c>
      <c r="C1" s="52" t="s">
        <v>6</v>
      </c>
      <c r="D1" s="52" t="s">
        <v>7</v>
      </c>
      <c r="E1" s="53" t="s">
        <v>8</v>
      </c>
      <c r="F1" s="53" t="s">
        <v>20</v>
      </c>
      <c r="G1" s="53" t="s">
        <v>28</v>
      </c>
      <c r="H1" s="53" t="s">
        <v>21</v>
      </c>
      <c r="I1" s="54" t="s">
        <v>29</v>
      </c>
      <c r="J1" s="55" t="s">
        <v>33</v>
      </c>
      <c r="K1" s="56" t="s">
        <v>30</v>
      </c>
      <c r="L1" s="55" t="s">
        <v>31</v>
      </c>
      <c r="M1" s="55" t="s">
        <v>42</v>
      </c>
      <c r="N1" s="20" t="s">
        <v>39</v>
      </c>
      <c r="O1" s="3" t="s">
        <v>3</v>
      </c>
      <c r="P1" s="4" t="s">
        <v>5</v>
      </c>
      <c r="Q1" s="65" t="s">
        <v>9</v>
      </c>
      <c r="R1" s="65"/>
      <c r="S1" s="65"/>
      <c r="T1" s="4" t="s">
        <v>14</v>
      </c>
    </row>
    <row r="2" spans="1:20" s="42" customFormat="1" x14ac:dyDescent="0.25">
      <c r="A2" s="35" t="s">
        <v>19</v>
      </c>
      <c r="B2" s="37"/>
      <c r="C2" s="36">
        <v>0</v>
      </c>
      <c r="D2" s="36">
        <v>3</v>
      </c>
      <c r="E2" s="36">
        <v>107</v>
      </c>
      <c r="F2" s="37"/>
      <c r="G2" s="37"/>
      <c r="H2" s="37"/>
      <c r="I2" s="38">
        <f>SUMPRODUCT(E2:H2,$P$3:$S$3)</f>
        <v>0.30601999999999996</v>
      </c>
      <c r="J2" s="39"/>
      <c r="K2" s="58"/>
      <c r="L2" s="39"/>
      <c r="M2" s="38">
        <f>0.005*E2</f>
        <v>0.53500000000000003</v>
      </c>
      <c r="N2" s="64">
        <v>0</v>
      </c>
      <c r="O2" s="59" t="s">
        <v>18</v>
      </c>
      <c r="P2" s="42" t="s">
        <v>19</v>
      </c>
      <c r="Q2" s="60" t="s">
        <v>20</v>
      </c>
      <c r="R2" s="60" t="s">
        <v>22</v>
      </c>
      <c r="S2" s="42" t="s">
        <v>21</v>
      </c>
      <c r="T2" s="60" t="s">
        <v>20</v>
      </c>
    </row>
    <row r="3" spans="1:20" x14ac:dyDescent="0.25">
      <c r="A3" s="43" t="s">
        <v>19</v>
      </c>
      <c r="B3" s="8"/>
      <c r="C3" s="7">
        <v>0</v>
      </c>
      <c r="D3" s="7">
        <v>4</v>
      </c>
      <c r="E3" s="7">
        <v>53</v>
      </c>
      <c r="F3" s="8"/>
      <c r="G3" s="8"/>
      <c r="H3" s="8"/>
      <c r="I3" s="9">
        <f t="shared" ref="I3:I60" si="0">SUMPRODUCT(E3:H3,$P$3:$S$3)</f>
        <v>0.15157999999999999</v>
      </c>
      <c r="J3" s="14"/>
      <c r="K3" s="17"/>
      <c r="L3" s="14"/>
      <c r="M3" s="9">
        <f t="shared" ref="M3:M4" si="1">0.005*E3</f>
        <v>0.26500000000000001</v>
      </c>
      <c r="N3" s="64">
        <v>1</v>
      </c>
      <c r="O3" s="3" t="s">
        <v>15</v>
      </c>
      <c r="P3">
        <f>1.43/500</f>
        <v>2.8599999999999997E-3</v>
      </c>
      <c r="Q3">
        <v>0.19</v>
      </c>
      <c r="R3">
        <v>3701.4</v>
      </c>
      <c r="S3">
        <v>665.96</v>
      </c>
      <c r="T3">
        <v>0.19</v>
      </c>
    </row>
    <row r="4" spans="1:20" x14ac:dyDescent="0.25">
      <c r="A4" s="43" t="s">
        <v>19</v>
      </c>
      <c r="B4" s="8"/>
      <c r="C4" s="7">
        <v>0</v>
      </c>
      <c r="D4" s="7">
        <v>5</v>
      </c>
      <c r="E4" s="7">
        <v>369</v>
      </c>
      <c r="F4" s="8"/>
      <c r="G4" s="8"/>
      <c r="H4" s="8"/>
      <c r="I4" s="9">
        <f t="shared" si="0"/>
        <v>1.0553399999999999</v>
      </c>
      <c r="J4" s="14"/>
      <c r="K4" s="17"/>
      <c r="L4" s="14"/>
      <c r="M4" s="9">
        <f t="shared" si="1"/>
        <v>1.845</v>
      </c>
      <c r="N4" s="64">
        <v>2</v>
      </c>
      <c r="O4" s="3" t="s">
        <v>16</v>
      </c>
      <c r="P4" t="s">
        <v>26</v>
      </c>
      <c r="Q4" t="s">
        <v>17</v>
      </c>
      <c r="R4" t="s">
        <v>23</v>
      </c>
      <c r="S4" t="s">
        <v>23</v>
      </c>
      <c r="T4" t="s">
        <v>17</v>
      </c>
    </row>
    <row r="5" spans="1:20" x14ac:dyDescent="0.25">
      <c r="A5" s="43" t="s">
        <v>19</v>
      </c>
      <c r="B5" s="8"/>
      <c r="C5" s="7">
        <v>0</v>
      </c>
      <c r="D5" s="7">
        <v>6</v>
      </c>
      <c r="E5" s="7">
        <v>320</v>
      </c>
      <c r="F5" s="8"/>
      <c r="G5" s="8"/>
      <c r="H5" s="8"/>
      <c r="I5" s="9">
        <f t="shared" si="0"/>
        <v>0.9151999999999999</v>
      </c>
      <c r="J5" s="14"/>
      <c r="K5" s="17"/>
      <c r="L5" s="14"/>
      <c r="M5" s="9">
        <f t="shared" ref="M5:M60" si="2">0.005*E5</f>
        <v>1.6</v>
      </c>
      <c r="N5" s="64">
        <v>3</v>
      </c>
      <c r="O5" s="3"/>
    </row>
    <row r="6" spans="1:20" ht="15.75" thickBot="1" x14ac:dyDescent="0.3">
      <c r="A6" s="43" t="s">
        <v>19</v>
      </c>
      <c r="B6" s="8"/>
      <c r="C6" s="7">
        <v>0</v>
      </c>
      <c r="D6" s="7">
        <v>7</v>
      </c>
      <c r="E6" s="7">
        <v>288</v>
      </c>
      <c r="F6" s="8"/>
      <c r="G6" s="8"/>
      <c r="H6" s="8"/>
      <c r="I6" s="9">
        <f t="shared" si="0"/>
        <v>0.82367999999999997</v>
      </c>
      <c r="J6" s="14"/>
      <c r="K6" s="17"/>
      <c r="L6" s="14"/>
      <c r="M6" s="9">
        <f t="shared" si="2"/>
        <v>1.44</v>
      </c>
      <c r="N6" s="64">
        <v>4</v>
      </c>
      <c r="O6" s="3"/>
    </row>
    <row r="7" spans="1:20" x14ac:dyDescent="0.25">
      <c r="A7" s="43" t="s">
        <v>19</v>
      </c>
      <c r="B7" s="8"/>
      <c r="C7" s="36">
        <v>1</v>
      </c>
      <c r="D7" s="36">
        <v>3</v>
      </c>
      <c r="E7" s="7">
        <v>120</v>
      </c>
      <c r="F7" s="8"/>
      <c r="G7" s="8"/>
      <c r="H7" s="8"/>
      <c r="I7" s="9">
        <f t="shared" si="0"/>
        <v>0.34319999999999995</v>
      </c>
      <c r="J7" s="14"/>
      <c r="K7" s="17"/>
      <c r="L7" s="14"/>
      <c r="M7" s="9">
        <f t="shared" ref="M7:M11" si="3">0.005*E7</f>
        <v>0.6</v>
      </c>
      <c r="N7" s="64">
        <v>5</v>
      </c>
      <c r="O7" s="2"/>
    </row>
    <row r="8" spans="1:20" x14ac:dyDescent="0.25">
      <c r="A8" s="43" t="s">
        <v>19</v>
      </c>
      <c r="B8" s="8"/>
      <c r="C8" s="7">
        <v>1</v>
      </c>
      <c r="D8" s="7">
        <v>4</v>
      </c>
      <c r="E8" s="7">
        <v>35</v>
      </c>
      <c r="F8" s="8"/>
      <c r="G8" s="8"/>
      <c r="H8" s="8"/>
      <c r="I8" s="9">
        <f t="shared" si="0"/>
        <v>0.10009999999999999</v>
      </c>
      <c r="J8" s="14"/>
      <c r="K8" s="17"/>
      <c r="L8" s="14"/>
      <c r="M8" s="9">
        <f t="shared" si="3"/>
        <v>0.17500000000000002</v>
      </c>
      <c r="N8" s="64">
        <v>6</v>
      </c>
      <c r="P8" s="2"/>
    </row>
    <row r="9" spans="1:20" x14ac:dyDescent="0.25">
      <c r="A9" s="43" t="s">
        <v>19</v>
      </c>
      <c r="B9" s="8"/>
      <c r="C9" s="7">
        <v>1</v>
      </c>
      <c r="D9" s="7">
        <v>5</v>
      </c>
      <c r="E9" s="7">
        <v>149</v>
      </c>
      <c r="F9" s="8"/>
      <c r="G9" s="8"/>
      <c r="H9" s="8"/>
      <c r="I9" s="9">
        <f t="shared" si="0"/>
        <v>0.42613999999999996</v>
      </c>
      <c r="J9" s="14"/>
      <c r="K9" s="17"/>
      <c r="L9" s="14"/>
      <c r="M9" s="9">
        <f t="shared" si="3"/>
        <v>0.745</v>
      </c>
      <c r="N9" s="64">
        <v>7</v>
      </c>
    </row>
    <row r="10" spans="1:20" x14ac:dyDescent="0.25">
      <c r="A10" s="43" t="s">
        <v>19</v>
      </c>
      <c r="B10" s="8"/>
      <c r="C10" s="7">
        <v>1</v>
      </c>
      <c r="D10" s="7">
        <v>6</v>
      </c>
      <c r="E10" s="7">
        <v>266</v>
      </c>
      <c r="F10" s="8"/>
      <c r="G10" s="8"/>
      <c r="H10" s="8"/>
      <c r="I10" s="9">
        <f t="shared" si="0"/>
        <v>0.76075999999999988</v>
      </c>
      <c r="J10" s="14"/>
      <c r="K10" s="17"/>
      <c r="L10" s="14"/>
      <c r="M10" s="9">
        <f t="shared" si="3"/>
        <v>1.33</v>
      </c>
      <c r="N10" s="64">
        <v>8</v>
      </c>
      <c r="P10" s="2"/>
    </row>
    <row r="11" spans="1:20" ht="15.75" thickBot="1" x14ac:dyDescent="0.3">
      <c r="A11" s="43" t="s">
        <v>19</v>
      </c>
      <c r="B11" s="8"/>
      <c r="C11" s="7">
        <v>1</v>
      </c>
      <c r="D11" s="7">
        <v>7</v>
      </c>
      <c r="E11" s="7">
        <v>34</v>
      </c>
      <c r="F11" s="8"/>
      <c r="G11" s="8"/>
      <c r="H11" s="8"/>
      <c r="I11" s="9">
        <f t="shared" si="0"/>
        <v>9.7239999999999993E-2</v>
      </c>
      <c r="J11" s="14"/>
      <c r="K11" s="17"/>
      <c r="L11" s="14"/>
      <c r="M11" s="9">
        <f t="shared" si="3"/>
        <v>0.17</v>
      </c>
      <c r="N11" s="64">
        <v>9</v>
      </c>
    </row>
    <row r="12" spans="1:20" x14ac:dyDescent="0.25">
      <c r="A12" s="43" t="s">
        <v>19</v>
      </c>
      <c r="B12" s="8"/>
      <c r="C12" s="36">
        <v>2</v>
      </c>
      <c r="D12" s="36">
        <v>3</v>
      </c>
      <c r="E12" s="7">
        <v>72</v>
      </c>
      <c r="F12" s="8"/>
      <c r="G12" s="8"/>
      <c r="H12" s="8"/>
      <c r="I12" s="9">
        <f t="shared" si="0"/>
        <v>0.20591999999999999</v>
      </c>
      <c r="J12" s="14"/>
      <c r="K12" s="17"/>
      <c r="L12" s="14"/>
      <c r="M12" s="9">
        <f t="shared" si="2"/>
        <v>0.36</v>
      </c>
      <c r="N12" s="64">
        <v>10</v>
      </c>
      <c r="O12" s="2"/>
    </row>
    <row r="13" spans="1:20" x14ac:dyDescent="0.25">
      <c r="A13" s="43" t="s">
        <v>19</v>
      </c>
      <c r="B13" s="8"/>
      <c r="C13" s="7">
        <v>2</v>
      </c>
      <c r="D13" s="7">
        <v>4</v>
      </c>
      <c r="E13" s="7">
        <v>59</v>
      </c>
      <c r="F13" s="8"/>
      <c r="G13" s="8"/>
      <c r="H13" s="8"/>
      <c r="I13" s="9">
        <f t="shared" si="0"/>
        <v>0.16873999999999997</v>
      </c>
      <c r="J13" s="14"/>
      <c r="K13" s="17"/>
      <c r="L13" s="14"/>
      <c r="M13" s="9">
        <f t="shared" ref="M13:M14" si="4">0.005*E13</f>
        <v>0.29499999999999998</v>
      </c>
      <c r="N13" s="64">
        <v>11</v>
      </c>
      <c r="P13" s="2"/>
    </row>
    <row r="14" spans="1:20" x14ac:dyDescent="0.25">
      <c r="A14" s="43" t="s">
        <v>19</v>
      </c>
      <c r="B14" s="8"/>
      <c r="C14" s="7">
        <v>2</v>
      </c>
      <c r="D14" s="7">
        <v>5</v>
      </c>
      <c r="E14" s="7">
        <v>247</v>
      </c>
      <c r="F14" s="8"/>
      <c r="G14" s="8"/>
      <c r="H14" s="8"/>
      <c r="I14" s="9">
        <f t="shared" si="0"/>
        <v>0.70641999999999994</v>
      </c>
      <c r="J14" s="14"/>
      <c r="K14" s="17"/>
      <c r="L14" s="14"/>
      <c r="M14" s="9">
        <f t="shared" si="4"/>
        <v>1.2350000000000001</v>
      </c>
      <c r="N14" s="64">
        <v>12</v>
      </c>
    </row>
    <row r="15" spans="1:20" x14ac:dyDescent="0.25">
      <c r="A15" s="43" t="s">
        <v>19</v>
      </c>
      <c r="B15" s="8"/>
      <c r="C15" s="7">
        <v>2</v>
      </c>
      <c r="D15" s="7">
        <v>6</v>
      </c>
      <c r="E15" s="7">
        <v>125</v>
      </c>
      <c r="F15" s="8"/>
      <c r="G15" s="8"/>
      <c r="H15" s="8"/>
      <c r="I15" s="9">
        <f t="shared" si="0"/>
        <v>0.35749999999999998</v>
      </c>
      <c r="J15" s="14"/>
      <c r="K15" s="17"/>
      <c r="L15" s="14"/>
      <c r="M15" s="9">
        <f t="shared" si="2"/>
        <v>0.625</v>
      </c>
      <c r="N15" s="64">
        <v>13</v>
      </c>
      <c r="P15" s="2"/>
    </row>
    <row r="16" spans="1:20" s="51" customFormat="1" ht="15.75" thickBot="1" x14ac:dyDescent="0.3">
      <c r="A16" s="44" t="s">
        <v>19</v>
      </c>
      <c r="B16" s="46"/>
      <c r="C16" s="45">
        <v>2</v>
      </c>
      <c r="D16" s="45">
        <v>7</v>
      </c>
      <c r="E16" s="45">
        <v>371</v>
      </c>
      <c r="F16" s="46"/>
      <c r="G16" s="46"/>
      <c r="H16" s="46"/>
      <c r="I16" s="47">
        <f t="shared" si="0"/>
        <v>1.0610599999999999</v>
      </c>
      <c r="J16" s="28"/>
      <c r="K16" s="61"/>
      <c r="L16" s="48"/>
      <c r="M16" s="47">
        <f t="shared" si="2"/>
        <v>1.855</v>
      </c>
      <c r="N16" s="64">
        <v>14</v>
      </c>
    </row>
    <row r="17" spans="1:15" x14ac:dyDescent="0.25">
      <c r="A17" s="30" t="s">
        <v>34</v>
      </c>
      <c r="B17" s="30">
        <v>3</v>
      </c>
      <c r="C17" s="31"/>
      <c r="D17" s="31"/>
      <c r="E17" s="31"/>
      <c r="F17" s="30">
        <v>5.0000000000000001E-3</v>
      </c>
      <c r="G17" s="30">
        <v>1.2999999999999999E-3</v>
      </c>
      <c r="H17" s="30">
        <v>2.9999999999999997E-4</v>
      </c>
      <c r="I17" s="32">
        <f>SUMPRODUCT(E17:H17,$P$3:$S$3)</f>
        <v>5.0125579999999994</v>
      </c>
      <c r="J17" s="14"/>
      <c r="K17" s="57"/>
      <c r="L17" s="33"/>
      <c r="M17" s="62">
        <v>2</v>
      </c>
      <c r="N17" s="64">
        <v>15</v>
      </c>
    </row>
    <row r="18" spans="1:15" x14ac:dyDescent="0.25">
      <c r="A18" s="7" t="s">
        <v>34</v>
      </c>
      <c r="B18" s="7">
        <v>4</v>
      </c>
      <c r="C18" s="8"/>
      <c r="D18" s="8"/>
      <c r="E18" s="8"/>
      <c r="F18" s="7">
        <v>3.0000000000000001E-3</v>
      </c>
      <c r="G18" s="7">
        <v>1.1999999999999999E-3</v>
      </c>
      <c r="H18" s="7">
        <v>2.0000000000000001E-4</v>
      </c>
      <c r="I18" s="9">
        <f>SUMPRODUCT(E18:H18,$P$3:$S$3)</f>
        <v>4.5754419999999998</v>
      </c>
      <c r="J18" s="14"/>
      <c r="K18" s="17"/>
      <c r="L18" s="14"/>
      <c r="M18" s="19">
        <v>2.2000000000000002</v>
      </c>
      <c r="N18" s="64">
        <v>16</v>
      </c>
    </row>
    <row r="19" spans="1:15" x14ac:dyDescent="0.25">
      <c r="A19" s="7" t="s">
        <v>34</v>
      </c>
      <c r="B19" s="7">
        <v>5</v>
      </c>
      <c r="C19" s="8"/>
      <c r="D19" s="8"/>
      <c r="E19" s="8"/>
      <c r="F19" s="7">
        <v>4.0000000000000001E-3</v>
      </c>
      <c r="G19" s="7">
        <v>1.4E-3</v>
      </c>
      <c r="H19" s="7">
        <v>4.0000000000000002E-4</v>
      </c>
      <c r="I19" s="9">
        <f>SUMPRODUCT(E19:H19,$P$3:$S$3)</f>
        <v>5.4491040000000002</v>
      </c>
      <c r="J19" s="14"/>
      <c r="K19" s="17"/>
      <c r="L19" s="14"/>
      <c r="M19" s="19">
        <v>2.1</v>
      </c>
      <c r="N19" s="64">
        <v>17</v>
      </c>
    </row>
    <row r="20" spans="1:15" x14ac:dyDescent="0.25">
      <c r="A20" s="7" t="s">
        <v>34</v>
      </c>
      <c r="B20" s="7">
        <v>6</v>
      </c>
      <c r="C20" s="8"/>
      <c r="D20" s="8"/>
      <c r="E20" s="8"/>
      <c r="F20" s="7">
        <v>6.0000000000000001E-3</v>
      </c>
      <c r="G20" s="7">
        <v>1.6000000000000001E-3</v>
      </c>
      <c r="H20" s="7">
        <v>2.9999999999999997E-4</v>
      </c>
      <c r="I20" s="9">
        <f>SUMPRODUCT(E20:H20,$P$3:$S$3)</f>
        <v>6.1231680000000006</v>
      </c>
      <c r="J20" s="14"/>
      <c r="K20" s="17"/>
      <c r="L20" s="14"/>
      <c r="M20" s="19">
        <v>2</v>
      </c>
      <c r="N20" s="64">
        <v>18</v>
      </c>
    </row>
    <row r="21" spans="1:15" ht="15.75" thickBot="1" x14ac:dyDescent="0.3">
      <c r="A21" s="7" t="s">
        <v>34</v>
      </c>
      <c r="B21" s="7">
        <v>7</v>
      </c>
      <c r="C21" s="8"/>
      <c r="D21" s="8"/>
      <c r="E21" s="8"/>
      <c r="F21" s="7">
        <v>4.0000000000000001E-3</v>
      </c>
      <c r="G21" s="7">
        <v>1.4E-3</v>
      </c>
      <c r="H21" s="7">
        <v>5.0000000000000001E-4</v>
      </c>
      <c r="I21" s="9">
        <f>SUMPRODUCT(E21:H21,$P$3:$S$3)</f>
        <v>5.5156999999999998</v>
      </c>
      <c r="J21" s="14"/>
      <c r="K21" s="17"/>
      <c r="L21" s="14"/>
      <c r="M21" s="19">
        <v>2.2999999999999998</v>
      </c>
      <c r="N21" s="64">
        <v>19</v>
      </c>
    </row>
    <row r="22" spans="1:15" s="42" customFormat="1" x14ac:dyDescent="0.25">
      <c r="A22" s="35" t="s">
        <v>19</v>
      </c>
      <c r="B22" s="37"/>
      <c r="C22" s="36">
        <v>3</v>
      </c>
      <c r="D22" s="36">
        <v>8</v>
      </c>
      <c r="E22" s="36">
        <v>398</v>
      </c>
      <c r="F22" s="37"/>
      <c r="G22" s="37"/>
      <c r="H22" s="37"/>
      <c r="I22" s="38">
        <f t="shared" si="0"/>
        <v>1.13828</v>
      </c>
      <c r="J22" s="33"/>
      <c r="K22" s="58"/>
      <c r="L22" s="39"/>
      <c r="M22" s="38">
        <f t="shared" si="2"/>
        <v>1.99</v>
      </c>
      <c r="N22" s="64">
        <v>20</v>
      </c>
      <c r="O22" s="42" t="s">
        <v>27</v>
      </c>
    </row>
    <row r="23" spans="1:15" x14ac:dyDescent="0.25">
      <c r="A23" s="43" t="s">
        <v>19</v>
      </c>
      <c r="B23" s="8"/>
      <c r="C23" s="7">
        <v>3</v>
      </c>
      <c r="D23" s="7">
        <v>9</v>
      </c>
      <c r="E23" s="7">
        <v>68</v>
      </c>
      <c r="F23" s="8"/>
      <c r="G23" s="8"/>
      <c r="H23" s="8"/>
      <c r="I23" s="9">
        <f t="shared" si="0"/>
        <v>0.19447999999999999</v>
      </c>
      <c r="J23" s="14"/>
      <c r="K23" s="17"/>
      <c r="L23" s="14"/>
      <c r="M23" s="9">
        <f t="shared" si="2"/>
        <v>0.34</v>
      </c>
      <c r="N23" s="64">
        <v>21</v>
      </c>
      <c r="O23" t="s">
        <v>24</v>
      </c>
    </row>
    <row r="24" spans="1:15" ht="15.75" thickBot="1" x14ac:dyDescent="0.3">
      <c r="A24" s="43" t="s">
        <v>19</v>
      </c>
      <c r="B24" s="8"/>
      <c r="C24" s="7">
        <v>3</v>
      </c>
      <c r="D24" s="7">
        <v>10</v>
      </c>
      <c r="E24" s="7">
        <v>162</v>
      </c>
      <c r="F24" s="8"/>
      <c r="G24" s="8"/>
      <c r="H24" s="8"/>
      <c r="I24" s="9">
        <f t="shared" si="0"/>
        <v>0.46331999999999995</v>
      </c>
      <c r="J24" s="14"/>
      <c r="K24" s="17"/>
      <c r="L24" s="14"/>
      <c r="M24" s="9">
        <f t="shared" si="2"/>
        <v>0.81</v>
      </c>
      <c r="N24" s="64">
        <v>22</v>
      </c>
      <c r="O24" t="s">
        <v>25</v>
      </c>
    </row>
    <row r="25" spans="1:15" x14ac:dyDescent="0.25">
      <c r="A25" s="43" t="s">
        <v>19</v>
      </c>
      <c r="B25" s="8"/>
      <c r="C25" s="36">
        <v>4</v>
      </c>
      <c r="D25" s="36">
        <v>8</v>
      </c>
      <c r="E25" s="7">
        <v>303</v>
      </c>
      <c r="F25" s="8"/>
      <c r="G25" s="8"/>
      <c r="H25" s="8"/>
      <c r="I25" s="9">
        <f t="shared" si="0"/>
        <v>0.86657999999999991</v>
      </c>
      <c r="J25" s="14"/>
      <c r="K25" s="17"/>
      <c r="L25" s="14"/>
      <c r="M25" s="9">
        <f t="shared" si="2"/>
        <v>1.5150000000000001</v>
      </c>
      <c r="N25" s="64">
        <v>23</v>
      </c>
      <c r="O25" t="s">
        <v>32</v>
      </c>
    </row>
    <row r="26" spans="1:15" x14ac:dyDescent="0.25">
      <c r="A26" s="43" t="s">
        <v>19</v>
      </c>
      <c r="B26" s="8"/>
      <c r="C26" s="7">
        <v>4</v>
      </c>
      <c r="D26" s="7">
        <v>9</v>
      </c>
      <c r="E26" s="7">
        <v>132</v>
      </c>
      <c r="F26" s="8"/>
      <c r="G26" s="8"/>
      <c r="H26" s="8"/>
      <c r="I26" s="9">
        <f t="shared" si="0"/>
        <v>0.37751999999999997</v>
      </c>
      <c r="J26" s="14"/>
      <c r="K26" s="17"/>
      <c r="L26" s="14"/>
      <c r="M26" s="9">
        <f t="shared" si="2"/>
        <v>0.66</v>
      </c>
      <c r="N26" s="64">
        <v>24</v>
      </c>
      <c r="O26" t="s">
        <v>37</v>
      </c>
    </row>
    <row r="27" spans="1:15" ht="15.75" thickBot="1" x14ac:dyDescent="0.3">
      <c r="A27" s="43" t="s">
        <v>19</v>
      </c>
      <c r="B27" s="8"/>
      <c r="C27" s="7">
        <v>4</v>
      </c>
      <c r="D27" s="7">
        <v>10</v>
      </c>
      <c r="E27" s="7">
        <v>129</v>
      </c>
      <c r="F27" s="8"/>
      <c r="G27" s="8"/>
      <c r="H27" s="8"/>
      <c r="I27" s="9">
        <f t="shared" si="0"/>
        <v>0.36893999999999993</v>
      </c>
      <c r="J27" s="14"/>
      <c r="K27" s="17"/>
      <c r="L27" s="14"/>
      <c r="M27" s="9">
        <f t="shared" si="2"/>
        <v>0.64500000000000002</v>
      </c>
      <c r="N27" s="64">
        <v>25</v>
      </c>
      <c r="O27" t="s">
        <v>38</v>
      </c>
    </row>
    <row r="28" spans="1:15" x14ac:dyDescent="0.25">
      <c r="A28" s="43" t="s">
        <v>19</v>
      </c>
      <c r="B28" s="8"/>
      <c r="C28" s="36">
        <v>5</v>
      </c>
      <c r="D28" s="36">
        <v>8</v>
      </c>
      <c r="E28" s="7">
        <v>339</v>
      </c>
      <c r="F28" s="8"/>
      <c r="G28" s="8"/>
      <c r="H28" s="8"/>
      <c r="I28" s="9">
        <f t="shared" si="0"/>
        <v>0.96953999999999985</v>
      </c>
      <c r="J28" s="14"/>
      <c r="K28" s="17"/>
      <c r="L28" s="14"/>
      <c r="M28" s="9">
        <f t="shared" si="2"/>
        <v>1.6950000000000001</v>
      </c>
      <c r="N28" s="64">
        <v>26</v>
      </c>
    </row>
    <row r="29" spans="1:15" x14ac:dyDescent="0.25">
      <c r="A29" s="43" t="s">
        <v>19</v>
      </c>
      <c r="B29" s="8"/>
      <c r="C29" s="7">
        <v>5</v>
      </c>
      <c r="D29" s="7">
        <v>9</v>
      </c>
      <c r="E29" s="7">
        <v>316</v>
      </c>
      <c r="F29" s="8"/>
      <c r="G29" s="8"/>
      <c r="H29" s="8"/>
      <c r="I29" s="9">
        <f t="shared" si="0"/>
        <v>0.9037599999999999</v>
      </c>
      <c r="J29" s="14"/>
      <c r="K29" s="17"/>
      <c r="L29" s="14"/>
      <c r="M29" s="9">
        <f t="shared" si="2"/>
        <v>1.58</v>
      </c>
      <c r="N29" s="64">
        <v>27</v>
      </c>
    </row>
    <row r="30" spans="1:15" ht="15.75" thickBot="1" x14ac:dyDescent="0.3">
      <c r="A30" s="43" t="s">
        <v>19</v>
      </c>
      <c r="B30" s="8"/>
      <c r="C30" s="7">
        <v>5</v>
      </c>
      <c r="D30" s="7">
        <v>10</v>
      </c>
      <c r="E30" s="7">
        <v>163</v>
      </c>
      <c r="F30" s="8"/>
      <c r="G30" s="8"/>
      <c r="H30" s="8"/>
      <c r="I30" s="9">
        <f t="shared" si="0"/>
        <v>0.46617999999999993</v>
      </c>
      <c r="J30" s="14"/>
      <c r="K30" s="17"/>
      <c r="L30" s="14"/>
      <c r="M30" s="9">
        <f t="shared" si="2"/>
        <v>0.81500000000000006</v>
      </c>
      <c r="N30" s="64">
        <v>28</v>
      </c>
    </row>
    <row r="31" spans="1:15" x14ac:dyDescent="0.25">
      <c r="A31" s="43" t="s">
        <v>19</v>
      </c>
      <c r="B31" s="8"/>
      <c r="C31" s="36">
        <v>6</v>
      </c>
      <c r="D31" s="36">
        <v>8</v>
      </c>
      <c r="E31" s="7">
        <v>323</v>
      </c>
      <c r="F31" s="8"/>
      <c r="G31" s="8"/>
      <c r="H31" s="8"/>
      <c r="I31" s="9">
        <f t="shared" si="0"/>
        <v>0.92377999999999993</v>
      </c>
      <c r="J31" s="14"/>
      <c r="K31" s="17"/>
      <c r="L31" s="14"/>
      <c r="M31" s="9">
        <f t="shared" ref="M31:M57" si="5">0.005*E31</f>
        <v>1.615</v>
      </c>
      <c r="N31" s="64">
        <v>29</v>
      </c>
    </row>
    <row r="32" spans="1:15" x14ac:dyDescent="0.25">
      <c r="A32" s="43" t="s">
        <v>19</v>
      </c>
      <c r="B32" s="8"/>
      <c r="C32" s="7">
        <v>6</v>
      </c>
      <c r="D32" s="7">
        <v>9</v>
      </c>
      <c r="E32" s="7">
        <v>252</v>
      </c>
      <c r="F32" s="8"/>
      <c r="G32" s="8"/>
      <c r="H32" s="8"/>
      <c r="I32" s="9">
        <f t="shared" si="0"/>
        <v>0.72071999999999992</v>
      </c>
      <c r="J32" s="14"/>
      <c r="K32" s="17"/>
      <c r="L32" s="14"/>
      <c r="M32" s="9">
        <f t="shared" si="5"/>
        <v>1.26</v>
      </c>
      <c r="N32" s="64">
        <v>30</v>
      </c>
    </row>
    <row r="33" spans="1:14" ht="15.75" thickBot="1" x14ac:dyDescent="0.3">
      <c r="A33" s="43" t="s">
        <v>19</v>
      </c>
      <c r="B33" s="8"/>
      <c r="C33" s="7">
        <v>6</v>
      </c>
      <c r="D33" s="7">
        <v>7</v>
      </c>
      <c r="E33" s="7">
        <v>135</v>
      </c>
      <c r="F33" s="8"/>
      <c r="G33" s="8"/>
      <c r="H33" s="8"/>
      <c r="I33" s="9">
        <f t="shared" si="0"/>
        <v>0.38609999999999994</v>
      </c>
      <c r="J33" s="14"/>
      <c r="K33" s="17"/>
      <c r="L33" s="14"/>
      <c r="M33" s="9">
        <f t="shared" si="5"/>
        <v>0.67500000000000004</v>
      </c>
      <c r="N33" s="64">
        <v>31</v>
      </c>
    </row>
    <row r="34" spans="1:14" x14ac:dyDescent="0.25">
      <c r="A34" s="43" t="s">
        <v>19</v>
      </c>
      <c r="B34" s="8"/>
      <c r="C34" s="36">
        <v>7</v>
      </c>
      <c r="D34" s="36">
        <v>8</v>
      </c>
      <c r="E34" s="7">
        <v>206</v>
      </c>
      <c r="F34" s="8"/>
      <c r="G34" s="8"/>
      <c r="H34" s="8"/>
      <c r="I34" s="9">
        <f t="shared" si="0"/>
        <v>0.58915999999999991</v>
      </c>
      <c r="J34" s="14"/>
      <c r="K34" s="17"/>
      <c r="L34" s="14"/>
      <c r="M34" s="9">
        <f t="shared" ref="M34:M39" si="6">0.005*E34</f>
        <v>1.03</v>
      </c>
      <c r="N34" s="64">
        <v>32</v>
      </c>
    </row>
    <row r="35" spans="1:14" x14ac:dyDescent="0.25">
      <c r="A35" s="43" t="s">
        <v>19</v>
      </c>
      <c r="B35" s="8"/>
      <c r="C35" s="7">
        <v>7</v>
      </c>
      <c r="D35" s="7">
        <v>9</v>
      </c>
      <c r="E35" s="7">
        <v>218</v>
      </c>
      <c r="F35" s="8"/>
      <c r="G35" s="8"/>
      <c r="H35" s="8"/>
      <c r="I35" s="9">
        <f t="shared" si="0"/>
        <v>0.62347999999999992</v>
      </c>
      <c r="J35" s="14"/>
      <c r="K35" s="17"/>
      <c r="L35" s="14"/>
      <c r="M35" s="9">
        <f t="shared" si="6"/>
        <v>1.0900000000000001</v>
      </c>
      <c r="N35" s="64">
        <v>33</v>
      </c>
    </row>
    <row r="36" spans="1:14" s="51" customFormat="1" ht="15.75" thickBot="1" x14ac:dyDescent="0.3">
      <c r="A36" s="44" t="s">
        <v>19</v>
      </c>
      <c r="B36" s="46"/>
      <c r="C36" s="7">
        <v>7</v>
      </c>
      <c r="D36" s="7">
        <v>10</v>
      </c>
      <c r="E36" s="45">
        <v>326</v>
      </c>
      <c r="F36" s="46"/>
      <c r="G36" s="46"/>
      <c r="H36" s="46"/>
      <c r="I36" s="47">
        <f t="shared" si="0"/>
        <v>0.93235999999999986</v>
      </c>
      <c r="J36" s="48"/>
      <c r="K36" s="61"/>
      <c r="L36" s="48"/>
      <c r="M36" s="47">
        <f t="shared" si="6"/>
        <v>1.6300000000000001</v>
      </c>
      <c r="N36" s="64">
        <v>34</v>
      </c>
    </row>
    <row r="37" spans="1:14" s="42" customFormat="1" x14ac:dyDescent="0.25">
      <c r="A37" s="35" t="s">
        <v>19</v>
      </c>
      <c r="B37" s="37"/>
      <c r="C37" s="36">
        <v>8</v>
      </c>
      <c r="D37" s="36">
        <v>11</v>
      </c>
      <c r="E37" s="36">
        <v>393</v>
      </c>
      <c r="F37" s="37"/>
      <c r="G37" s="37"/>
      <c r="H37" s="37"/>
      <c r="I37" s="38">
        <f t="shared" si="0"/>
        <v>1.12398</v>
      </c>
      <c r="J37" s="39"/>
      <c r="K37" s="58"/>
      <c r="L37" s="39"/>
      <c r="M37" s="38">
        <f t="shared" si="6"/>
        <v>1.9650000000000001</v>
      </c>
      <c r="N37" s="64">
        <v>35</v>
      </c>
    </row>
    <row r="38" spans="1:14" x14ac:dyDescent="0.25">
      <c r="A38" s="43" t="s">
        <v>19</v>
      </c>
      <c r="B38" s="8"/>
      <c r="C38" s="7">
        <v>8</v>
      </c>
      <c r="D38" s="7">
        <v>12</v>
      </c>
      <c r="E38" s="7">
        <v>385</v>
      </c>
      <c r="F38" s="8"/>
      <c r="G38" s="8"/>
      <c r="H38" s="8"/>
      <c r="I38" s="9">
        <f t="shared" si="0"/>
        <v>1.1011</v>
      </c>
      <c r="J38" s="14"/>
      <c r="K38" s="17"/>
      <c r="L38" s="14"/>
      <c r="M38" s="9">
        <f t="shared" si="6"/>
        <v>1.925</v>
      </c>
      <c r="N38" s="64">
        <v>36</v>
      </c>
    </row>
    <row r="39" spans="1:14" ht="15.75" thickBot="1" x14ac:dyDescent="0.3">
      <c r="A39" s="43" t="s">
        <v>19</v>
      </c>
      <c r="B39" s="8"/>
      <c r="C39" s="7">
        <v>8</v>
      </c>
      <c r="D39" s="7">
        <v>13</v>
      </c>
      <c r="E39" s="7">
        <v>324</v>
      </c>
      <c r="F39" s="8"/>
      <c r="G39" s="8"/>
      <c r="H39" s="8"/>
      <c r="I39" s="9">
        <f t="shared" si="0"/>
        <v>0.92663999999999991</v>
      </c>
      <c r="J39" s="14"/>
      <c r="K39" s="17"/>
      <c r="L39" s="14"/>
      <c r="M39" s="9">
        <f t="shared" si="6"/>
        <v>1.62</v>
      </c>
      <c r="N39" s="64">
        <v>37</v>
      </c>
    </row>
    <row r="40" spans="1:14" x14ac:dyDescent="0.25">
      <c r="A40" s="43" t="s">
        <v>19</v>
      </c>
      <c r="B40" s="8"/>
      <c r="C40" s="36">
        <v>9</v>
      </c>
      <c r="D40" s="36">
        <v>11</v>
      </c>
      <c r="E40" s="7">
        <v>298</v>
      </c>
      <c r="F40" s="8"/>
      <c r="G40" s="8"/>
      <c r="H40" s="8"/>
      <c r="I40" s="9">
        <f t="shared" si="0"/>
        <v>0.85227999999999993</v>
      </c>
      <c r="J40" s="14"/>
      <c r="K40" s="17"/>
      <c r="L40" s="14"/>
      <c r="M40" s="9">
        <f t="shared" si="5"/>
        <v>1.49</v>
      </c>
      <c r="N40" s="64">
        <v>38</v>
      </c>
    </row>
    <row r="41" spans="1:14" x14ac:dyDescent="0.25">
      <c r="A41" s="43" t="s">
        <v>19</v>
      </c>
      <c r="B41" s="8"/>
      <c r="C41" s="7">
        <v>9</v>
      </c>
      <c r="D41" s="7">
        <v>12</v>
      </c>
      <c r="E41" s="7">
        <v>392</v>
      </c>
      <c r="F41" s="8"/>
      <c r="G41" s="8"/>
      <c r="H41" s="8"/>
      <c r="I41" s="9">
        <f t="shared" si="0"/>
        <v>1.1211199999999999</v>
      </c>
      <c r="J41" s="14"/>
      <c r="K41" s="17"/>
      <c r="L41" s="14"/>
      <c r="M41" s="9">
        <f t="shared" ref="M41:M55" si="7">0.005*E41</f>
        <v>1.96</v>
      </c>
      <c r="N41" s="64">
        <v>39</v>
      </c>
    </row>
    <row r="42" spans="1:14" ht="15.75" thickBot="1" x14ac:dyDescent="0.3">
      <c r="A42" s="43" t="s">
        <v>19</v>
      </c>
      <c r="B42" s="8"/>
      <c r="C42" s="7">
        <v>9</v>
      </c>
      <c r="D42" s="7">
        <v>13</v>
      </c>
      <c r="E42" s="7">
        <v>127</v>
      </c>
      <c r="F42" s="8"/>
      <c r="G42" s="8"/>
      <c r="H42" s="8"/>
      <c r="I42" s="9">
        <f t="shared" si="0"/>
        <v>0.36321999999999999</v>
      </c>
      <c r="J42" s="14"/>
      <c r="K42" s="17"/>
      <c r="L42" s="14"/>
      <c r="M42" s="9">
        <f t="shared" si="7"/>
        <v>0.63500000000000001</v>
      </c>
      <c r="N42" s="64">
        <v>40</v>
      </c>
    </row>
    <row r="43" spans="1:14" x14ac:dyDescent="0.25">
      <c r="A43" s="43" t="s">
        <v>19</v>
      </c>
      <c r="B43" s="8"/>
      <c r="C43" s="36">
        <v>10</v>
      </c>
      <c r="D43" s="36">
        <v>11</v>
      </c>
      <c r="E43" s="7">
        <v>374</v>
      </c>
      <c r="F43" s="8"/>
      <c r="G43" s="8"/>
      <c r="H43" s="8"/>
      <c r="I43" s="9">
        <f t="shared" si="0"/>
        <v>1.0696399999999999</v>
      </c>
      <c r="J43" s="14"/>
      <c r="K43" s="17"/>
      <c r="L43" s="14"/>
      <c r="M43" s="9">
        <f t="shared" si="7"/>
        <v>1.87</v>
      </c>
      <c r="N43" s="64">
        <v>41</v>
      </c>
    </row>
    <row r="44" spans="1:14" x14ac:dyDescent="0.25">
      <c r="A44" s="43" t="s">
        <v>19</v>
      </c>
      <c r="B44" s="8"/>
      <c r="C44" s="7">
        <v>10</v>
      </c>
      <c r="D44" s="7">
        <v>12</v>
      </c>
      <c r="E44" s="7">
        <v>40</v>
      </c>
      <c r="F44" s="8"/>
      <c r="G44" s="8"/>
      <c r="H44" s="8"/>
      <c r="I44" s="9">
        <f t="shared" si="0"/>
        <v>0.11439999999999999</v>
      </c>
      <c r="J44" s="14"/>
      <c r="K44" s="17"/>
      <c r="L44" s="14"/>
      <c r="M44" s="9">
        <f t="shared" si="7"/>
        <v>0.2</v>
      </c>
      <c r="N44" s="64">
        <v>42</v>
      </c>
    </row>
    <row r="45" spans="1:14" s="51" customFormat="1" ht="15.75" thickBot="1" x14ac:dyDescent="0.3">
      <c r="A45" s="44" t="s">
        <v>19</v>
      </c>
      <c r="B45" s="46"/>
      <c r="C45" s="7">
        <v>10</v>
      </c>
      <c r="D45" s="7">
        <v>13</v>
      </c>
      <c r="E45" s="45">
        <v>371</v>
      </c>
      <c r="F45" s="46"/>
      <c r="G45" s="46"/>
      <c r="H45" s="46"/>
      <c r="I45" s="47">
        <f t="shared" si="0"/>
        <v>1.0610599999999999</v>
      </c>
      <c r="J45" s="48"/>
      <c r="K45" s="61"/>
      <c r="L45" s="48"/>
      <c r="M45" s="47">
        <f t="shared" si="7"/>
        <v>1.855</v>
      </c>
      <c r="N45" s="64">
        <v>43</v>
      </c>
    </row>
    <row r="46" spans="1:14" s="42" customFormat="1" x14ac:dyDescent="0.25">
      <c r="A46" s="35" t="s">
        <v>19</v>
      </c>
      <c r="B46" s="37"/>
      <c r="C46" s="36">
        <v>11</v>
      </c>
      <c r="D46" s="36">
        <v>14</v>
      </c>
      <c r="E46" s="36">
        <v>389</v>
      </c>
      <c r="F46" s="37"/>
      <c r="G46" s="37"/>
      <c r="H46" s="37"/>
      <c r="I46" s="38">
        <f t="shared" si="0"/>
        <v>1.1125399999999999</v>
      </c>
      <c r="J46" s="39"/>
      <c r="K46" s="58"/>
      <c r="L46" s="39"/>
      <c r="M46" s="38">
        <f t="shared" si="7"/>
        <v>1.9450000000000001</v>
      </c>
      <c r="N46" s="64">
        <v>44</v>
      </c>
    </row>
    <row r="47" spans="1:14" x14ac:dyDescent="0.25">
      <c r="A47" s="43" t="s">
        <v>19</v>
      </c>
      <c r="B47" s="8"/>
      <c r="C47" s="7">
        <v>11</v>
      </c>
      <c r="D47" s="7">
        <v>15</v>
      </c>
      <c r="E47" s="7">
        <v>193</v>
      </c>
      <c r="F47" s="8"/>
      <c r="G47" s="8"/>
      <c r="H47" s="8"/>
      <c r="I47" s="9">
        <f t="shared" si="0"/>
        <v>0.55197999999999992</v>
      </c>
      <c r="J47" s="14"/>
      <c r="K47" s="17"/>
      <c r="L47" s="14"/>
      <c r="M47" s="9">
        <f t="shared" si="7"/>
        <v>0.96499999999999997</v>
      </c>
      <c r="N47" s="64">
        <v>45</v>
      </c>
    </row>
    <row r="48" spans="1:14" x14ac:dyDescent="0.25">
      <c r="A48" s="43" t="s">
        <v>19</v>
      </c>
      <c r="B48" s="8"/>
      <c r="C48" s="7">
        <v>11</v>
      </c>
      <c r="D48" s="7">
        <v>16</v>
      </c>
      <c r="E48" s="7">
        <v>381</v>
      </c>
      <c r="F48" s="8"/>
      <c r="G48" s="8"/>
      <c r="H48" s="8"/>
      <c r="I48" s="9">
        <f t="shared" si="0"/>
        <v>1.0896599999999999</v>
      </c>
      <c r="J48" s="14"/>
      <c r="K48" s="17"/>
      <c r="L48" s="14"/>
      <c r="M48" s="9">
        <f t="shared" si="7"/>
        <v>1.905</v>
      </c>
      <c r="N48" s="64">
        <v>46</v>
      </c>
    </row>
    <row r="49" spans="1:15" x14ac:dyDescent="0.25">
      <c r="A49" s="43" t="s">
        <v>19</v>
      </c>
      <c r="B49" s="8"/>
      <c r="C49" s="7">
        <v>11</v>
      </c>
      <c r="D49" s="7">
        <v>17</v>
      </c>
      <c r="E49" s="7">
        <v>180</v>
      </c>
      <c r="F49" s="8"/>
      <c r="G49" s="8"/>
      <c r="H49" s="8"/>
      <c r="I49" s="9">
        <f t="shared" si="0"/>
        <v>0.51479999999999992</v>
      </c>
      <c r="J49" s="14"/>
      <c r="K49" s="17"/>
      <c r="L49" s="14"/>
      <c r="M49" s="9">
        <f t="shared" si="7"/>
        <v>0.9</v>
      </c>
      <c r="N49" s="64">
        <v>47</v>
      </c>
    </row>
    <row r="50" spans="1:15" ht="15.75" thickBot="1" x14ac:dyDescent="0.3">
      <c r="A50" s="43" t="s">
        <v>19</v>
      </c>
      <c r="B50" s="8"/>
      <c r="C50" s="7">
        <v>11</v>
      </c>
      <c r="D50" s="7">
        <v>18</v>
      </c>
      <c r="E50" s="7">
        <v>138</v>
      </c>
      <c r="F50" s="8"/>
      <c r="G50" s="8"/>
      <c r="H50" s="8"/>
      <c r="I50" s="9">
        <f t="shared" si="0"/>
        <v>0.39467999999999998</v>
      </c>
      <c r="J50" s="14"/>
      <c r="K50" s="17"/>
      <c r="L50" s="14"/>
      <c r="M50" s="9">
        <f t="shared" si="7"/>
        <v>0.69000000000000006</v>
      </c>
      <c r="N50" s="64">
        <v>48</v>
      </c>
    </row>
    <row r="51" spans="1:15" x14ac:dyDescent="0.25">
      <c r="A51" s="43" t="s">
        <v>19</v>
      </c>
      <c r="B51" s="8"/>
      <c r="C51" s="36">
        <v>12</v>
      </c>
      <c r="D51" s="36">
        <v>14</v>
      </c>
      <c r="E51" s="7">
        <v>161</v>
      </c>
      <c r="F51" s="8"/>
      <c r="G51" s="8"/>
      <c r="H51" s="8"/>
      <c r="I51" s="9">
        <f t="shared" si="0"/>
        <v>0.46045999999999992</v>
      </c>
      <c r="J51" s="14"/>
      <c r="K51" s="17"/>
      <c r="L51" s="14"/>
      <c r="M51" s="9">
        <f>0.005*E51</f>
        <v>0.80500000000000005</v>
      </c>
      <c r="N51" s="64">
        <v>49</v>
      </c>
    </row>
    <row r="52" spans="1:15" x14ac:dyDescent="0.25">
      <c r="A52" s="43" t="s">
        <v>19</v>
      </c>
      <c r="B52" s="8"/>
      <c r="C52" s="7">
        <v>12</v>
      </c>
      <c r="D52" s="7">
        <v>15</v>
      </c>
      <c r="E52" s="7">
        <v>213</v>
      </c>
      <c r="F52" s="8"/>
      <c r="G52" s="8"/>
      <c r="H52" s="8"/>
      <c r="I52" s="9">
        <f t="shared" si="0"/>
        <v>0.60917999999999994</v>
      </c>
      <c r="J52" s="14"/>
      <c r="K52" s="17"/>
      <c r="L52" s="14"/>
      <c r="M52" s="9">
        <f t="shared" si="7"/>
        <v>1.0649999999999999</v>
      </c>
      <c r="N52" s="64">
        <v>50</v>
      </c>
    </row>
    <row r="53" spans="1:15" x14ac:dyDescent="0.25">
      <c r="A53" s="43" t="s">
        <v>19</v>
      </c>
      <c r="B53" s="8"/>
      <c r="C53" s="7">
        <v>12</v>
      </c>
      <c r="D53" s="7">
        <v>16</v>
      </c>
      <c r="E53" s="7">
        <v>368</v>
      </c>
      <c r="F53" s="8"/>
      <c r="G53" s="8"/>
      <c r="H53" s="8"/>
      <c r="I53" s="9">
        <f t="shared" si="0"/>
        <v>1.0524799999999999</v>
      </c>
      <c r="J53" s="14"/>
      <c r="K53" s="17"/>
      <c r="L53" s="14"/>
      <c r="M53" s="9">
        <f t="shared" si="7"/>
        <v>1.84</v>
      </c>
      <c r="N53" s="64">
        <v>51</v>
      </c>
    </row>
    <row r="54" spans="1:15" x14ac:dyDescent="0.25">
      <c r="A54" s="43" t="s">
        <v>19</v>
      </c>
      <c r="B54" s="8"/>
      <c r="C54" s="7">
        <v>12</v>
      </c>
      <c r="D54" s="7">
        <v>17</v>
      </c>
      <c r="E54" s="7">
        <v>166</v>
      </c>
      <c r="F54" s="8"/>
      <c r="G54" s="8"/>
      <c r="H54" s="8"/>
      <c r="I54" s="9">
        <f t="shared" si="0"/>
        <v>0.47475999999999996</v>
      </c>
      <c r="J54" s="14"/>
      <c r="K54" s="17"/>
      <c r="L54" s="14"/>
      <c r="M54" s="9">
        <f t="shared" si="7"/>
        <v>0.83000000000000007</v>
      </c>
      <c r="N54" s="64">
        <v>52</v>
      </c>
    </row>
    <row r="55" spans="1:15" ht="15.75" thickBot="1" x14ac:dyDescent="0.3">
      <c r="A55" s="43" t="s">
        <v>19</v>
      </c>
      <c r="B55" s="8"/>
      <c r="C55" s="7">
        <v>12</v>
      </c>
      <c r="D55" s="7">
        <v>18</v>
      </c>
      <c r="E55" s="7">
        <v>377</v>
      </c>
      <c r="F55" s="8"/>
      <c r="G55" s="8"/>
      <c r="H55" s="8"/>
      <c r="I55" s="9">
        <f t="shared" si="0"/>
        <v>1.07822</v>
      </c>
      <c r="J55" s="14"/>
      <c r="K55" s="17"/>
      <c r="L55" s="14"/>
      <c r="M55" s="9">
        <f t="shared" si="7"/>
        <v>1.885</v>
      </c>
      <c r="N55" s="64">
        <v>53</v>
      </c>
    </row>
    <row r="56" spans="1:15" x14ac:dyDescent="0.25">
      <c r="A56" s="43" t="s">
        <v>19</v>
      </c>
      <c r="B56" s="8"/>
      <c r="C56" s="36">
        <v>13</v>
      </c>
      <c r="D56" s="36">
        <v>14</v>
      </c>
      <c r="E56" s="7">
        <v>332</v>
      </c>
      <c r="F56" s="8"/>
      <c r="G56" s="8"/>
      <c r="H56" s="8"/>
      <c r="I56" s="9">
        <f t="shared" si="0"/>
        <v>0.94951999999999992</v>
      </c>
      <c r="J56" s="14"/>
      <c r="K56" s="17"/>
      <c r="L56" s="14"/>
      <c r="M56" s="9">
        <f t="shared" si="5"/>
        <v>1.6600000000000001</v>
      </c>
      <c r="N56" s="64">
        <v>54</v>
      </c>
    </row>
    <row r="57" spans="1:15" x14ac:dyDescent="0.25">
      <c r="A57" s="43" t="s">
        <v>19</v>
      </c>
      <c r="B57" s="8"/>
      <c r="C57" s="7">
        <v>13</v>
      </c>
      <c r="D57" s="7">
        <v>15</v>
      </c>
      <c r="E57" s="7">
        <v>302</v>
      </c>
      <c r="F57" s="8"/>
      <c r="G57" s="8"/>
      <c r="H57" s="8"/>
      <c r="I57" s="9">
        <f t="shared" si="0"/>
        <v>0.86371999999999993</v>
      </c>
      <c r="J57" s="14"/>
      <c r="K57" s="17"/>
      <c r="L57" s="14"/>
      <c r="M57" s="9">
        <f t="shared" si="5"/>
        <v>1.51</v>
      </c>
      <c r="N57" s="64">
        <v>55</v>
      </c>
    </row>
    <row r="58" spans="1:15" x14ac:dyDescent="0.25">
      <c r="A58" s="43" t="s">
        <v>19</v>
      </c>
      <c r="B58" s="8"/>
      <c r="C58" s="7">
        <v>13</v>
      </c>
      <c r="D58" s="7">
        <v>16</v>
      </c>
      <c r="E58" s="7">
        <v>118</v>
      </c>
      <c r="F58" s="8"/>
      <c r="G58" s="8"/>
      <c r="H58" s="8"/>
      <c r="I58" s="9">
        <f t="shared" si="0"/>
        <v>0.33747999999999995</v>
      </c>
      <c r="J58" s="14"/>
      <c r="K58" s="17"/>
      <c r="L58" s="14"/>
      <c r="M58" s="9">
        <f t="shared" si="2"/>
        <v>0.59</v>
      </c>
      <c r="N58" s="64">
        <v>56</v>
      </c>
    </row>
    <row r="59" spans="1:15" x14ac:dyDescent="0.25">
      <c r="A59" s="43" t="s">
        <v>19</v>
      </c>
      <c r="B59" s="8"/>
      <c r="C59" s="7">
        <v>13</v>
      </c>
      <c r="D59" s="7">
        <v>17</v>
      </c>
      <c r="E59" s="7">
        <v>80</v>
      </c>
      <c r="F59" s="8"/>
      <c r="G59" s="8"/>
      <c r="H59" s="8"/>
      <c r="I59" s="9">
        <f t="shared" si="0"/>
        <v>0.22879999999999998</v>
      </c>
      <c r="J59" s="14"/>
      <c r="K59" s="17"/>
      <c r="L59" s="14"/>
      <c r="M59" s="9">
        <f t="shared" si="2"/>
        <v>0.4</v>
      </c>
      <c r="N59" s="64">
        <v>57</v>
      </c>
    </row>
    <row r="60" spans="1:15" s="51" customFormat="1" ht="15.75" thickBot="1" x14ac:dyDescent="0.3">
      <c r="A60" s="44" t="s">
        <v>19</v>
      </c>
      <c r="B60" s="46"/>
      <c r="C60" s="7">
        <v>13</v>
      </c>
      <c r="D60" s="7">
        <v>18</v>
      </c>
      <c r="E60" s="45">
        <v>279</v>
      </c>
      <c r="F60" s="46"/>
      <c r="G60" s="46"/>
      <c r="H60" s="46"/>
      <c r="I60" s="47">
        <f t="shared" si="0"/>
        <v>0.79793999999999987</v>
      </c>
      <c r="J60" s="48"/>
      <c r="K60" s="61"/>
      <c r="L60" s="48"/>
      <c r="M60" s="47">
        <f t="shared" si="2"/>
        <v>1.395</v>
      </c>
      <c r="N60" s="64">
        <v>58</v>
      </c>
    </row>
    <row r="61" spans="1:15" x14ac:dyDescent="0.25">
      <c r="A61" s="7" t="s">
        <v>14</v>
      </c>
      <c r="B61" s="7">
        <v>3</v>
      </c>
      <c r="C61" s="8"/>
      <c r="D61" s="8"/>
      <c r="E61" s="8"/>
      <c r="F61" s="7">
        <v>1E-3</v>
      </c>
      <c r="G61" s="8"/>
      <c r="H61" s="8"/>
      <c r="I61" s="9">
        <f t="shared" ref="I61:I76" si="8">SUMPRODUCT(E61:H61,$P$3:$S$3)</f>
        <v>1.9000000000000001E-4</v>
      </c>
      <c r="J61" s="14"/>
      <c r="K61" s="16">
        <v>155</v>
      </c>
      <c r="L61" s="9">
        <v>0.23</v>
      </c>
      <c r="M61" s="14"/>
      <c r="N61" s="21">
        <v>0</v>
      </c>
    </row>
    <row r="62" spans="1:15" x14ac:dyDescent="0.25">
      <c r="A62" s="7" t="s">
        <v>14</v>
      </c>
      <c r="B62" s="7">
        <v>4</v>
      </c>
      <c r="C62" s="8"/>
      <c r="D62" s="8"/>
      <c r="E62" s="8"/>
      <c r="F62" s="7">
        <v>1E-3</v>
      </c>
      <c r="G62" s="8"/>
      <c r="H62" s="8"/>
      <c r="I62" s="9">
        <f t="shared" si="8"/>
        <v>1.9000000000000001E-4</v>
      </c>
      <c r="J62" s="14"/>
      <c r="K62" s="16">
        <v>267</v>
      </c>
      <c r="L62" s="9">
        <v>0.35000000000000003</v>
      </c>
      <c r="M62" s="14"/>
      <c r="N62" s="21">
        <v>1</v>
      </c>
      <c r="O62" s="24"/>
    </row>
    <row r="63" spans="1:15" x14ac:dyDescent="0.25">
      <c r="A63" s="7" t="s">
        <v>14</v>
      </c>
      <c r="B63" s="7">
        <v>5</v>
      </c>
      <c r="C63" s="8"/>
      <c r="D63" s="8"/>
      <c r="E63" s="8"/>
      <c r="F63" s="7">
        <v>1E-3</v>
      </c>
      <c r="G63" s="8"/>
      <c r="H63" s="8"/>
      <c r="I63" s="9">
        <f t="shared" si="8"/>
        <v>1.9000000000000001E-4</v>
      </c>
      <c r="J63" s="14"/>
      <c r="K63" s="16">
        <v>342</v>
      </c>
      <c r="L63" s="9">
        <v>0.22</v>
      </c>
      <c r="M63" s="14"/>
      <c r="N63" s="21">
        <v>2</v>
      </c>
    </row>
    <row r="64" spans="1:15" x14ac:dyDescent="0.25">
      <c r="A64" s="7" t="s">
        <v>14</v>
      </c>
      <c r="B64" s="7">
        <v>6</v>
      </c>
      <c r="C64" s="8"/>
      <c r="D64" s="8"/>
      <c r="E64" s="8"/>
      <c r="F64" s="7">
        <v>1E-3</v>
      </c>
      <c r="G64" s="8"/>
      <c r="H64" s="8"/>
      <c r="I64" s="9">
        <f t="shared" si="8"/>
        <v>1.9000000000000001E-4</v>
      </c>
      <c r="J64" s="14"/>
      <c r="K64" s="16">
        <v>211</v>
      </c>
      <c r="L64" s="9">
        <v>0.11</v>
      </c>
      <c r="M64" s="14"/>
      <c r="N64" s="21">
        <v>3</v>
      </c>
    </row>
    <row r="65" spans="1:14" ht="15.75" thickBot="1" x14ac:dyDescent="0.3">
      <c r="A65" s="25" t="s">
        <v>14</v>
      </c>
      <c r="B65" s="7">
        <v>7</v>
      </c>
      <c r="C65" s="26"/>
      <c r="D65" s="26"/>
      <c r="E65" s="26"/>
      <c r="F65" s="25">
        <v>1E-3</v>
      </c>
      <c r="G65" s="26"/>
      <c r="H65" s="26"/>
      <c r="I65" s="27">
        <f t="shared" si="8"/>
        <v>1.9000000000000001E-4</v>
      </c>
      <c r="J65" s="28"/>
      <c r="K65" s="29">
        <v>162</v>
      </c>
      <c r="L65" s="27">
        <v>0.28999999999999998</v>
      </c>
      <c r="M65" s="28"/>
      <c r="N65" s="21">
        <v>4</v>
      </c>
    </row>
    <row r="66" spans="1:14" s="42" customFormat="1" x14ac:dyDescent="0.25">
      <c r="A66" s="35" t="s">
        <v>14</v>
      </c>
      <c r="B66" s="7">
        <v>8</v>
      </c>
      <c r="C66" s="37"/>
      <c r="D66" s="37"/>
      <c r="E66" s="37"/>
      <c r="F66" s="36">
        <v>1E-3</v>
      </c>
      <c r="G66" s="37"/>
      <c r="H66" s="37"/>
      <c r="I66" s="38">
        <f t="shared" si="8"/>
        <v>1.9000000000000001E-4</v>
      </c>
      <c r="J66" s="39"/>
      <c r="K66" s="40">
        <v>195</v>
      </c>
      <c r="L66" s="38">
        <v>0.37</v>
      </c>
      <c r="M66" s="39"/>
      <c r="N66" s="41">
        <v>5</v>
      </c>
    </row>
    <row r="67" spans="1:14" x14ac:dyDescent="0.25">
      <c r="A67" s="43" t="s">
        <v>14</v>
      </c>
      <c r="B67" s="7">
        <v>9</v>
      </c>
      <c r="C67" s="8"/>
      <c r="D67" s="8"/>
      <c r="E67" s="8"/>
      <c r="F67" s="7">
        <v>1E-3</v>
      </c>
      <c r="G67" s="8"/>
      <c r="H67" s="8"/>
      <c r="I67" s="9">
        <f t="shared" si="8"/>
        <v>1.9000000000000001E-4</v>
      </c>
      <c r="J67" s="14"/>
      <c r="K67" s="16">
        <v>333</v>
      </c>
      <c r="L67" s="9">
        <v>0.11</v>
      </c>
      <c r="M67" s="14"/>
      <c r="N67" s="21">
        <v>6</v>
      </c>
    </row>
    <row r="68" spans="1:14" s="51" customFormat="1" ht="15.75" thickBot="1" x14ac:dyDescent="0.3">
      <c r="A68" s="44" t="s">
        <v>14</v>
      </c>
      <c r="B68" s="7">
        <v>10</v>
      </c>
      <c r="C68" s="46"/>
      <c r="D68" s="46"/>
      <c r="E68" s="46"/>
      <c r="F68" s="45">
        <v>1E-3</v>
      </c>
      <c r="G68" s="46"/>
      <c r="H68" s="46"/>
      <c r="I68" s="47">
        <f t="shared" si="8"/>
        <v>1.9000000000000001E-4</v>
      </c>
      <c r="J68" s="48"/>
      <c r="K68" s="49">
        <v>96</v>
      </c>
      <c r="L68" s="47">
        <v>0.36</v>
      </c>
      <c r="M68" s="48"/>
      <c r="N68" s="50">
        <v>7</v>
      </c>
    </row>
    <row r="69" spans="1:14" s="42" customFormat="1" x14ac:dyDescent="0.25">
      <c r="A69" s="35" t="s">
        <v>14</v>
      </c>
      <c r="B69" s="7">
        <v>11</v>
      </c>
      <c r="C69" s="37"/>
      <c r="D69" s="37"/>
      <c r="E69" s="37"/>
      <c r="F69" s="36">
        <v>1E-3</v>
      </c>
      <c r="G69" s="37"/>
      <c r="H69" s="37"/>
      <c r="I69" s="38">
        <f t="shared" si="8"/>
        <v>1.9000000000000001E-4</v>
      </c>
      <c r="J69" s="39"/>
      <c r="K69" s="40">
        <v>285</v>
      </c>
      <c r="L69" s="38">
        <v>0.33</v>
      </c>
      <c r="M69" s="39"/>
      <c r="N69" s="41">
        <v>8</v>
      </c>
    </row>
    <row r="70" spans="1:14" x14ac:dyDescent="0.25">
      <c r="A70" s="43" t="s">
        <v>14</v>
      </c>
      <c r="B70" s="7">
        <v>12</v>
      </c>
      <c r="C70" s="8"/>
      <c r="D70" s="8"/>
      <c r="E70" s="8"/>
      <c r="F70" s="7">
        <v>1E-3</v>
      </c>
      <c r="G70" s="8"/>
      <c r="H70" s="8"/>
      <c r="I70" s="9">
        <f>SUMPRODUCT(E70:H70,$P$3:$S$3)</f>
        <v>1.9000000000000001E-4</v>
      </c>
      <c r="J70" s="14"/>
      <c r="K70" s="16">
        <v>68</v>
      </c>
      <c r="L70" s="9">
        <v>0.26</v>
      </c>
      <c r="M70" s="14"/>
      <c r="N70" s="21">
        <v>9</v>
      </c>
    </row>
    <row r="71" spans="1:14" s="51" customFormat="1" ht="15.75" thickBot="1" x14ac:dyDescent="0.3">
      <c r="A71" s="44" t="s">
        <v>14</v>
      </c>
      <c r="B71" s="7">
        <v>13</v>
      </c>
      <c r="C71" s="46"/>
      <c r="D71" s="46"/>
      <c r="E71" s="46"/>
      <c r="F71" s="45">
        <v>1E-3</v>
      </c>
      <c r="G71" s="46"/>
      <c r="H71" s="46"/>
      <c r="I71" s="47">
        <f t="shared" si="8"/>
        <v>1.9000000000000001E-4</v>
      </c>
      <c r="J71" s="48"/>
      <c r="K71" s="49">
        <v>379</v>
      </c>
      <c r="L71" s="47">
        <v>0.3</v>
      </c>
      <c r="M71" s="48"/>
      <c r="N71" s="50">
        <v>10</v>
      </c>
    </row>
    <row r="72" spans="1:14" x14ac:dyDescent="0.25">
      <c r="A72" s="30" t="s">
        <v>14</v>
      </c>
      <c r="B72" s="7">
        <v>14</v>
      </c>
      <c r="C72" s="31"/>
      <c r="D72" s="31"/>
      <c r="E72" s="31"/>
      <c r="F72" s="30">
        <v>1E-3</v>
      </c>
      <c r="G72" s="31"/>
      <c r="H72" s="31"/>
      <c r="I72" s="32">
        <f t="shared" si="8"/>
        <v>1.9000000000000001E-4</v>
      </c>
      <c r="J72" s="33"/>
      <c r="K72" s="34">
        <v>344</v>
      </c>
      <c r="L72" s="32">
        <v>0.17</v>
      </c>
      <c r="M72" s="33"/>
      <c r="N72" s="21">
        <v>11</v>
      </c>
    </row>
    <row r="73" spans="1:14" x14ac:dyDescent="0.25">
      <c r="A73" s="7" t="s">
        <v>14</v>
      </c>
      <c r="B73" s="7">
        <v>15</v>
      </c>
      <c r="C73" s="8"/>
      <c r="D73" s="8"/>
      <c r="E73" s="8"/>
      <c r="F73" s="7">
        <v>1E-3</v>
      </c>
      <c r="G73" s="8"/>
      <c r="H73" s="8"/>
      <c r="I73" s="9">
        <f t="shared" si="8"/>
        <v>1.9000000000000001E-4</v>
      </c>
      <c r="J73" s="14"/>
      <c r="K73" s="16">
        <v>66</v>
      </c>
      <c r="L73" s="9">
        <v>0.28999999999999998</v>
      </c>
      <c r="M73" s="14"/>
      <c r="N73" s="21">
        <v>12</v>
      </c>
    </row>
    <row r="74" spans="1:14" x14ac:dyDescent="0.25">
      <c r="A74" s="7" t="s">
        <v>14</v>
      </c>
      <c r="B74" s="7">
        <v>16</v>
      </c>
      <c r="C74" s="8"/>
      <c r="D74" s="8"/>
      <c r="E74" s="8"/>
      <c r="F74" s="7">
        <v>1E-3</v>
      </c>
      <c r="G74" s="8"/>
      <c r="H74" s="8"/>
      <c r="I74" s="9">
        <f t="shared" si="8"/>
        <v>1.9000000000000001E-4</v>
      </c>
      <c r="J74" s="14"/>
      <c r="K74" s="16">
        <v>356</v>
      </c>
      <c r="L74" s="9">
        <v>0.27</v>
      </c>
      <c r="M74" s="14"/>
      <c r="N74" s="21">
        <v>13</v>
      </c>
    </row>
    <row r="75" spans="1:14" x14ac:dyDescent="0.25">
      <c r="A75" s="7" t="s">
        <v>14</v>
      </c>
      <c r="B75" s="7">
        <v>17</v>
      </c>
      <c r="C75" s="8"/>
      <c r="D75" s="8"/>
      <c r="E75" s="8"/>
      <c r="F75" s="7">
        <v>1E-3</v>
      </c>
      <c r="G75" s="8"/>
      <c r="H75" s="8"/>
      <c r="I75" s="9">
        <f t="shared" si="8"/>
        <v>1.9000000000000001E-4</v>
      </c>
      <c r="J75" s="14"/>
      <c r="K75" s="16">
        <v>382</v>
      </c>
      <c r="L75" s="9">
        <v>0.23</v>
      </c>
      <c r="M75" s="14"/>
      <c r="N75" s="21">
        <v>14</v>
      </c>
    </row>
    <row r="76" spans="1:14" x14ac:dyDescent="0.25">
      <c r="A76" s="7" t="s">
        <v>14</v>
      </c>
      <c r="B76" s="7">
        <v>18</v>
      </c>
      <c r="C76" s="8"/>
      <c r="D76" s="8"/>
      <c r="E76" s="8"/>
      <c r="F76" s="7">
        <v>1E-3</v>
      </c>
      <c r="G76" s="8"/>
      <c r="H76" s="8"/>
      <c r="I76" s="9">
        <f t="shared" si="8"/>
        <v>1.9000000000000001E-4</v>
      </c>
      <c r="J76" s="14"/>
      <c r="K76" s="16">
        <v>362</v>
      </c>
      <c r="L76" s="9">
        <v>0.37</v>
      </c>
      <c r="M76" s="14"/>
      <c r="N76" s="21">
        <v>15</v>
      </c>
    </row>
  </sheetData>
  <mergeCells count="1">
    <mergeCell ref="Q1:S1"/>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C86B-1155-401A-B683-9FFCB5875F44}">
  <dimension ref="A1:C11"/>
  <sheetViews>
    <sheetView workbookViewId="0">
      <selection activeCell="B7" sqref="B7"/>
    </sheetView>
  </sheetViews>
  <sheetFormatPr defaultRowHeight="15" x14ac:dyDescent="0.25"/>
  <cols>
    <col min="2" max="2" width="22.85546875" bestFit="1" customWidth="1"/>
    <col min="3" max="3" width="13.140625" bestFit="1" customWidth="1"/>
  </cols>
  <sheetData>
    <row r="1" spans="1:3" x14ac:dyDescent="0.25">
      <c r="A1" t="s">
        <v>4</v>
      </c>
      <c r="B1" t="s">
        <v>11</v>
      </c>
      <c r="C1" t="s">
        <v>10</v>
      </c>
    </row>
    <row r="2" spans="1:3" x14ac:dyDescent="0.25">
      <c r="A2">
        <v>1</v>
      </c>
      <c r="B2" t="s">
        <v>12</v>
      </c>
      <c r="C2" t="e" vm="1">
        <v>#VALUE!</v>
      </c>
    </row>
    <row r="3" spans="1:3" x14ac:dyDescent="0.25">
      <c r="A3">
        <v>2</v>
      </c>
      <c r="B3" t="s">
        <v>12</v>
      </c>
      <c r="C3" t="e" vm="2">
        <v>#VALUE!</v>
      </c>
    </row>
    <row r="4" spans="1:3" x14ac:dyDescent="0.25">
      <c r="A4">
        <v>3</v>
      </c>
      <c r="B4" t="s">
        <v>13</v>
      </c>
      <c r="C4" t="e" vm="3">
        <v>#VALUE!</v>
      </c>
    </row>
    <row r="5" spans="1:3" x14ac:dyDescent="0.25">
      <c r="A5">
        <v>4</v>
      </c>
      <c r="B5" t="s">
        <v>13</v>
      </c>
      <c r="C5" t="e" vm="4">
        <v>#VALUE!</v>
      </c>
    </row>
    <row r="6" spans="1:3" x14ac:dyDescent="0.25">
      <c r="A6">
        <v>5</v>
      </c>
      <c r="B6" t="s">
        <v>13</v>
      </c>
      <c r="C6" t="e" vm="5">
        <v>#VALUE!</v>
      </c>
    </row>
    <row r="7" spans="1:3" x14ac:dyDescent="0.25">
      <c r="A7">
        <v>6</v>
      </c>
      <c r="B7" t="s">
        <v>35</v>
      </c>
      <c r="C7" t="e" vm="3">
        <v>#VALUE!</v>
      </c>
    </row>
    <row r="8" spans="1:3" x14ac:dyDescent="0.25">
      <c r="A8">
        <v>7</v>
      </c>
      <c r="B8" t="s">
        <v>35</v>
      </c>
      <c r="C8" t="e" vm="5">
        <v>#VALUE!</v>
      </c>
    </row>
    <row r="9" spans="1:3" x14ac:dyDescent="0.25">
      <c r="A9">
        <v>8</v>
      </c>
      <c r="B9" t="s">
        <v>36</v>
      </c>
      <c r="C9" t="e" vm="6">
        <v>#VALUE!</v>
      </c>
    </row>
    <row r="10" spans="1:3" x14ac:dyDescent="0.25">
      <c r="A10">
        <v>9</v>
      </c>
      <c r="B10" t="s">
        <v>36</v>
      </c>
      <c r="C10" t="e" vm="7">
        <v>#VALUE!</v>
      </c>
    </row>
    <row r="11" spans="1:3" x14ac:dyDescent="0.25">
      <c r="A11">
        <v>10</v>
      </c>
      <c r="B11" t="s">
        <v>36</v>
      </c>
      <c r="C11" t="e" vm="8">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Demand</vt:lpstr>
      <vt:lpstr>Parameters_simple</vt:lpstr>
      <vt:lpstr>Parameters</vt:lpstr>
      <vt:lpstr>Parameters_complex</vt:lpstr>
      <vt:lpstr>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Rifny Rachman</cp:lastModifiedBy>
  <dcterms:created xsi:type="dcterms:W3CDTF">2024-03-25T11:27:30Z</dcterms:created>
  <dcterms:modified xsi:type="dcterms:W3CDTF">2026-01-26T02:54:54Z</dcterms:modified>
</cp:coreProperties>
</file>